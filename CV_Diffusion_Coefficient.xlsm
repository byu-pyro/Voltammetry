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Devin\Box\Papers\"/>
    </mc:Choice>
  </mc:AlternateContent>
  <xr:revisionPtr revIDLastSave="0" documentId="13_ncr:1_{4348C376-A8C0-4732-B9DF-1C213F7D7516}" xr6:coauthVersionLast="47" xr6:coauthVersionMax="47" xr10:uidLastSave="{00000000-0000-0000-0000-000000000000}"/>
  <bookViews>
    <workbookView xWindow="27465" yWindow="2775" windowWidth="21600" windowHeight="12405" xr2:uid="{CFD47A29-D0F7-4837-8561-FF057F143BCA}"/>
  </bookViews>
  <sheets>
    <sheet name="Introduction" sheetId="12" r:id="rId1"/>
    <sheet name="Inputs and Calculations" sheetId="1" r:id="rId2"/>
    <sheet name="Solver Install Instructions" sheetId="13" r:id="rId3"/>
    <sheet name="Solver Setup Instructions" sheetId="14" r:id="rId4"/>
  </sheets>
  <definedNames>
    <definedName name="A">'Inputs and Calculations'!$C$9</definedName>
    <definedName name="A_U" localSheetId="1">'Inputs and Calculations'!$D$9</definedName>
    <definedName name="COx">'Inputs and Calculations'!$F$9</definedName>
    <definedName name="COx_U" localSheetId="1">'Inputs and Calculations'!$G$9</definedName>
    <definedName name="Dia">#REF!</definedName>
    <definedName name="DOx">'Inputs and Calculations'!$G$37</definedName>
    <definedName name="DOx_U" localSheetId="1">'Inputs and Calculations'!#REF!</definedName>
    <definedName name="e_">'Inputs and Calculations'!$I$9</definedName>
    <definedName name="Eeq">'Inputs and Calculations'!#REF!</definedName>
    <definedName name="Eeq_U">#REF!</definedName>
    <definedName name="Ep">'Inputs and Calculations'!#REF!</definedName>
    <definedName name="Ep_U" localSheetId="1">'Inputs and Calculations'!#REF!</definedName>
    <definedName name="F">'Inputs and Calculations'!$L$9</definedName>
    <definedName name="F_U" localSheetId="1">'Inputs and Calculations'!$M$9</definedName>
    <definedName name="Ip">'Inputs and Calculations'!$G$18</definedName>
    <definedName name="Ip_calc">'Inputs and Calculations'!$J$18</definedName>
    <definedName name="Ip_U" localSheetId="1">'Inputs and Calculations'!$H$18</definedName>
    <definedName name="MW">'Inputs and Calculations'!$C$10</definedName>
    <definedName name="MW_U" localSheetId="1">'Inputs and Calculations'!#REF!</definedName>
    <definedName name="n">'Inputs and Calculations'!$F$10</definedName>
    <definedName name="n_U" localSheetId="1">'Inputs and Calculations'!$G$10</definedName>
    <definedName name="R_">'Inputs and Calculations'!$I$10</definedName>
    <definedName name="R_U" localSheetId="1">'Inputs and Calculations'!$J$10</definedName>
    <definedName name="rA">'Inputs and Calculations'!$L$10</definedName>
    <definedName name="rA_U" localSheetId="1">'Inputs and Calculations'!#REF!</definedName>
    <definedName name="Ru">'Inputs and Calculations'!#REF!</definedName>
    <definedName name="Ru_U" localSheetId="1">'Inputs and Calculations'!#REF!</definedName>
    <definedName name="solver_adj" localSheetId="1" hidden="1">'Inputs and Calculations'!$G$37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'Inputs and Calculations'!$G$37</definedName>
    <definedName name="solver_lhs2" localSheetId="1" hidden="1">'Inputs and Calculations'!$G$37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'Inputs and Calculations'!$L$33</definedName>
    <definedName name="solver_pre" localSheetId="1" hidden="1">0.000001</definedName>
    <definedName name="solver_rbv" localSheetId="1" hidden="1">1</definedName>
    <definedName name="solver_rel1" localSheetId="1" hidden="1">3</definedName>
    <definedName name="solver_rel2" localSheetId="1" hidden="1">3</definedName>
    <definedName name="solver_rhs1" localSheetId="1" hidden="1">0.00000001</definedName>
    <definedName name="solver_rhs2" localSheetId="1" hidden="1">0.000001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'Inputs and Calculations'!$C$11</definedName>
    <definedName name="T_U" localSheetId="1">'Inputs and Calculations'!$D$11</definedName>
    <definedName name="Γ">'Inputs and Calculations'!$E$14</definedName>
    <definedName name="Γ_U" localSheetId="1">'Inputs and Calculations'!$D$19</definedName>
    <definedName name="ΔE">'Inputs and Calculations'!$F$11</definedName>
    <definedName name="ΔE_U" localSheetId="1">'Inputs and Calculations'!$G$11</definedName>
    <definedName name="Δεs">'Inputs and Calculations'!$H$14</definedName>
    <definedName name="Δεs_U" localSheetId="1">'Inputs and Calculations'!#REF!</definedName>
    <definedName name="ν">'Inputs and Calculations'!$C$18</definedName>
    <definedName name="ν_U" localSheetId="1">'Inputs and Calculations'!$D$18</definedName>
    <definedName name="ρ">'Inputs and Calculations'!#REF!</definedName>
    <definedName name="ρ_U" localSheetId="1">'Inputs and Calculations'!#REF!</definedName>
    <definedName name="ρD">'Inputs and Calculations'!$I$11</definedName>
    <definedName name="ρD_U" localSheetId="1">'Inputs and Calculations'!#REF!</definedName>
    <definedName name="χ">'Inputs and Calculations'!$J$14</definedName>
    <definedName name="χ_U" localSheetId="1">'Inputs and Calculations'!#REF!</definedName>
    <definedName name="ψp">'Inputs and Calculations'!#REF!</definedName>
    <definedName name="ψp_U" localSheetId="1">'Inputs and Calculations'!#REF!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1" l="1"/>
  <c r="H14" i="1"/>
  <c r="R8" i="12"/>
  <c r="R9" i="12"/>
  <c r="R10" i="12"/>
  <c r="R7" i="12"/>
  <c r="J14" i="1" l="1"/>
  <c r="G25" i="1" s="1"/>
  <c r="I25" i="1" s="1"/>
  <c r="F25" i="1"/>
  <c r="F26" i="1"/>
  <c r="F27" i="1"/>
  <c r="F28" i="1"/>
  <c r="F24" i="1"/>
  <c r="G24" i="1" s="1"/>
  <c r="I24" i="1" s="1"/>
  <c r="F33" i="1"/>
  <c r="G33" i="1" s="1"/>
  <c r="F31" i="1"/>
  <c r="F30" i="1"/>
  <c r="F29" i="1"/>
  <c r="G29" i="1" s="1"/>
  <c r="F32" i="1"/>
  <c r="G26" i="1" l="1"/>
  <c r="I26" i="1" s="1"/>
  <c r="L33" i="1" s="1"/>
  <c r="G27" i="1"/>
  <c r="I27" i="1" s="1"/>
  <c r="J18" i="1"/>
  <c r="J19" i="1" s="1"/>
  <c r="G28" i="1"/>
  <c r="I28" i="1" s="1"/>
  <c r="G31" i="1"/>
  <c r="H31" i="1" s="1"/>
  <c r="H33" i="1"/>
  <c r="H29" i="1"/>
  <c r="G32" i="1"/>
  <c r="H32" i="1" s="1"/>
  <c r="G30" i="1"/>
  <c r="H30" i="1" s="1"/>
</calcChain>
</file>

<file path=xl/sharedStrings.xml><?xml version="1.0" encoding="utf-8"?>
<sst xmlns="http://schemas.openxmlformats.org/spreadsheetml/2006/main" count="108" uniqueCount="95">
  <si>
    <t>T</t>
  </si>
  <si>
    <t>K</t>
  </si>
  <si>
    <t>R</t>
  </si>
  <si>
    <t>n</t>
  </si>
  <si>
    <t>F</t>
  </si>
  <si>
    <t>C/mol</t>
  </si>
  <si>
    <t>A</t>
  </si>
  <si>
    <t>ν</t>
  </si>
  <si>
    <t>Inputs</t>
  </si>
  <si>
    <t>V</t>
  </si>
  <si>
    <r>
      <t>mol cm</t>
    </r>
    <r>
      <rPr>
        <vertAlign val="superscript"/>
        <sz val="11"/>
        <color theme="1"/>
        <rFont val="Times New Roman"/>
        <family val="1"/>
      </rPr>
      <t>-3</t>
    </r>
  </si>
  <si>
    <r>
      <t>J mol</t>
    </r>
    <r>
      <rPr>
        <vertAlign val="superscript"/>
        <sz val="11"/>
        <color theme="1"/>
        <rFont val="Times New Roman"/>
        <family val="1"/>
      </rPr>
      <t>-1</t>
    </r>
    <r>
      <rPr>
        <sz val="11"/>
        <color theme="1"/>
        <rFont val="Times New Roman"/>
        <family val="1"/>
      </rPr>
      <t xml:space="preserve"> K</t>
    </r>
    <r>
      <rPr>
        <vertAlign val="superscript"/>
        <sz val="11"/>
        <color theme="1"/>
        <rFont val="Times New Roman"/>
        <family val="1"/>
      </rPr>
      <t>-1</t>
    </r>
  </si>
  <si>
    <r>
      <t>cm</t>
    </r>
    <r>
      <rPr>
        <vertAlign val="superscript"/>
        <sz val="11"/>
        <color theme="1"/>
        <rFont val="Times New Roman"/>
        <family val="1"/>
      </rPr>
      <t>2</t>
    </r>
  </si>
  <si>
    <r>
      <t>V s</t>
    </r>
    <r>
      <rPr>
        <vertAlign val="superscript"/>
        <sz val="11"/>
        <color theme="1"/>
        <rFont val="Times New Roman"/>
        <family val="1"/>
      </rPr>
      <t>-1</t>
    </r>
  </si>
  <si>
    <t>χ</t>
  </si>
  <si>
    <t>MW</t>
  </si>
  <si>
    <r>
      <t>g cm</t>
    </r>
    <r>
      <rPr>
        <vertAlign val="superscript"/>
        <sz val="11"/>
        <color theme="1"/>
        <rFont val="Times New Roman"/>
        <family val="1"/>
      </rPr>
      <t>-3</t>
    </r>
  </si>
  <si>
    <r>
      <t>g mol</t>
    </r>
    <r>
      <rPr>
        <vertAlign val="superscript"/>
        <sz val="11"/>
        <color theme="1"/>
        <rFont val="Times New Roman"/>
        <family val="1"/>
      </rPr>
      <t>-1</t>
    </r>
  </si>
  <si>
    <t>pm</t>
  </si>
  <si>
    <r>
      <t>mol cm</t>
    </r>
    <r>
      <rPr>
        <vertAlign val="superscript"/>
        <sz val="11"/>
        <color theme="1"/>
        <rFont val="Times New Roman"/>
        <family val="1"/>
      </rPr>
      <t>-2</t>
    </r>
  </si>
  <si>
    <t>Multiple Scan Rates</t>
  </si>
  <si>
    <t>Potential</t>
  </si>
  <si>
    <t>Time</t>
  </si>
  <si>
    <t>Calculation of Diffusion Coefficients from Cyclic Volammetry Electrodeposition Peak on Foreign Substrate using a Digital Staircase</t>
  </si>
  <si>
    <t>Before using this computation tool ensure that you meet the following conditions:</t>
  </si>
  <si>
    <t>1. Electrochemical reversibility (i.e. peak current is linear with sqaure root of scan rate, peak potential independent of scan rate)</t>
  </si>
  <si>
    <r>
      <t>2. Semi-infinite linear diffusion (i.e.,</t>
    </r>
    <r>
      <rPr>
        <i/>
        <sz val="11"/>
        <color theme="1"/>
        <rFont val="Times New Roman"/>
        <family val="1"/>
        <scheme val="minor"/>
      </rPr>
      <t xml:space="preserve"> ν &lt;&lt; RTD</t>
    </r>
    <r>
      <rPr>
        <i/>
        <vertAlign val="subscript"/>
        <sz val="11"/>
        <color theme="1"/>
        <rFont val="Times New Roman"/>
        <family val="1"/>
        <scheme val="minor"/>
      </rPr>
      <t>Ox</t>
    </r>
    <r>
      <rPr>
        <i/>
        <sz val="11"/>
        <color theme="1"/>
        <rFont val="Times New Roman"/>
        <family val="1"/>
        <scheme val="minor"/>
      </rPr>
      <t>/(nFr</t>
    </r>
    <r>
      <rPr>
        <i/>
        <vertAlign val="subscript"/>
        <sz val="11"/>
        <color theme="1"/>
        <rFont val="Times New Roman"/>
        <family val="1"/>
        <scheme val="minor"/>
      </rPr>
      <t>0</t>
    </r>
    <r>
      <rPr>
        <i/>
        <sz val="11"/>
        <color theme="1"/>
        <rFont val="Times New Roman"/>
        <family val="1"/>
        <scheme val="minor"/>
      </rPr>
      <t>)</t>
    </r>
    <r>
      <rPr>
        <sz val="11"/>
        <color theme="1"/>
        <rFont val="Times New Roman"/>
        <family val="1"/>
        <scheme val="minor"/>
      </rPr>
      <t>)</t>
    </r>
  </si>
  <si>
    <t>3. Metal deposits onto a clean foreign substrate (e.g., La deposition onto W)</t>
  </si>
  <si>
    <t>Nomenclature</t>
  </si>
  <si>
    <t>Area of working electrode</t>
  </si>
  <si>
    <r>
      <t>C</t>
    </r>
    <r>
      <rPr>
        <vertAlign val="subscript"/>
        <sz val="11"/>
        <color theme="1"/>
        <rFont val="Times New Roman"/>
        <family val="1"/>
        <scheme val="minor"/>
      </rPr>
      <t>Ox</t>
    </r>
  </si>
  <si>
    <t>Concentration of counter ion of deposit</t>
  </si>
  <si>
    <r>
      <t>D</t>
    </r>
    <r>
      <rPr>
        <vertAlign val="subscript"/>
        <sz val="11"/>
        <color theme="1"/>
        <rFont val="Times New Roman"/>
        <family val="1"/>
        <scheme val="minor"/>
      </rPr>
      <t>Ox</t>
    </r>
  </si>
  <si>
    <t>Diffusion coefficient</t>
  </si>
  <si>
    <r>
      <t>I</t>
    </r>
    <r>
      <rPr>
        <vertAlign val="subscript"/>
        <sz val="11"/>
        <color theme="1"/>
        <rFont val="Times New Roman"/>
        <family val="1"/>
        <scheme val="minor"/>
      </rPr>
      <t>p</t>
    </r>
  </si>
  <si>
    <t>Faraday's constant</t>
  </si>
  <si>
    <t>Peak current</t>
  </si>
  <si>
    <t>Temperature of electrolyte</t>
  </si>
  <si>
    <t>Universal Gas Constant</t>
  </si>
  <si>
    <t>Number of electrons exchanged</t>
  </si>
  <si>
    <t>Molecular or atomic mass of deposit</t>
  </si>
  <si>
    <t>ΔE</t>
  </si>
  <si>
    <r>
      <rPr>
        <b/>
        <i/>
        <sz val="11"/>
        <color theme="1"/>
        <rFont val="Times New Roman"/>
        <family val="1"/>
        <scheme val="minor"/>
      </rPr>
      <t>Note</t>
    </r>
    <r>
      <rPr>
        <i/>
        <sz val="11"/>
        <color theme="1"/>
        <rFont val="Times New Roman"/>
        <family val="1"/>
        <scheme val="minor"/>
      </rPr>
      <t>: This figure is an example. Consult your specific potentiostat software to ensure parameters are defined in the same manner. You may need to convert your potentiostat parameters to match the definitions in this figure</t>
    </r>
  </si>
  <si>
    <t>Scan rate</t>
  </si>
  <si>
    <r>
      <t xml:space="preserve">Potential step (scan rate </t>
    </r>
    <r>
      <rPr>
        <sz val="11"/>
        <color theme="1"/>
        <rFont val="Calibri"/>
        <family val="2"/>
      </rPr>
      <t>×</t>
    </r>
    <r>
      <rPr>
        <sz val="11"/>
        <color theme="1"/>
        <rFont val="Times New Roman"/>
        <family val="2"/>
      </rPr>
      <t xml:space="preserve"> sampling time)</t>
    </r>
  </si>
  <si>
    <t>Mass density of deposit</t>
  </si>
  <si>
    <t>Radius of deposited atoms or molecules</t>
  </si>
  <si>
    <r>
      <t>r</t>
    </r>
    <r>
      <rPr>
        <vertAlign val="subscript"/>
        <sz val="11"/>
        <color theme="1"/>
        <rFont val="Times New Roman"/>
        <family val="1"/>
        <scheme val="minor"/>
      </rPr>
      <t>A</t>
    </r>
  </si>
  <si>
    <r>
      <t>ρ</t>
    </r>
    <r>
      <rPr>
        <vertAlign val="subscript"/>
        <sz val="11"/>
        <color theme="1"/>
        <rFont val="Times New Roman"/>
        <family val="1"/>
        <scheme val="minor"/>
      </rPr>
      <t>D</t>
    </r>
  </si>
  <si>
    <t>e</t>
  </si>
  <si>
    <t>Roughness factor for electrode/deposits</t>
  </si>
  <si>
    <t>Equations</t>
  </si>
  <si>
    <t>Monolayer of Deposit Calculation</t>
  </si>
  <si>
    <t>Calculated Peak Current</t>
  </si>
  <si>
    <t>Dimensionless Parameters</t>
  </si>
  <si>
    <t xml:space="preserve">Sources: (1) Krulic, D.; Fatouros, N.; Liu, D. A Complementary Survey of Staircase Voltammetry with Metal Ion Deposition on Macroelectrodes. J. Electroanal. Chem. 2015, 754, 30–39. https://doi.org/10.1016/j.jelechem.2015.06.012.
(2) Rappleye, D.; Fuller, R. Improving the Improving the Calculation of Properties from Voltammetry Measurements of Electrodeposition in Molten Salts. J. Electrochem. Soc., 2023
</t>
  </si>
  <si>
    <t>Please cite the following sources when using this computational tool.</t>
  </si>
  <si>
    <t>Single Scan Rate</t>
  </si>
  <si>
    <t>Calculations</t>
  </si>
  <si>
    <t>Solving Instructions</t>
  </si>
  <si>
    <r>
      <t>D</t>
    </r>
    <r>
      <rPr>
        <vertAlign val="subscript"/>
        <sz val="14"/>
        <color theme="1"/>
        <rFont val="Times New Roman"/>
        <family val="1"/>
        <scheme val="minor"/>
      </rPr>
      <t>Ox</t>
    </r>
  </si>
  <si>
    <r>
      <t>cm</t>
    </r>
    <r>
      <rPr>
        <vertAlign val="superscript"/>
        <sz val="14"/>
        <color theme="1"/>
        <rFont val="Times New Roman"/>
        <family val="1"/>
        <scheme val="minor"/>
      </rPr>
      <t>2</t>
    </r>
    <r>
      <rPr>
        <sz val="14"/>
        <color theme="1"/>
        <rFont val="Times New Roman"/>
        <family val="1"/>
        <scheme val="minor"/>
      </rPr>
      <t xml:space="preserve"> s</t>
    </r>
    <r>
      <rPr>
        <vertAlign val="superscript"/>
        <sz val="14"/>
        <color theme="1"/>
        <rFont val="Times New Roman"/>
        <family val="1"/>
        <scheme val="minor"/>
      </rPr>
      <t>-1</t>
    </r>
  </si>
  <si>
    <r>
      <t>I</t>
    </r>
    <r>
      <rPr>
        <b/>
        <vertAlign val="subscript"/>
        <sz val="11"/>
        <color theme="1"/>
        <rFont val="Times New Roman"/>
        <family val="1"/>
      </rPr>
      <t>p</t>
    </r>
    <r>
      <rPr>
        <b/>
        <sz val="11"/>
        <color theme="1"/>
        <rFont val="Times New Roman"/>
        <family val="1"/>
      </rPr>
      <t xml:space="preserve"> (measured)</t>
    </r>
  </si>
  <si>
    <r>
      <t>r</t>
    </r>
    <r>
      <rPr>
        <b/>
        <vertAlign val="subscript"/>
        <sz val="11"/>
        <color theme="1"/>
        <rFont val="Times New Roman"/>
        <family val="1"/>
      </rPr>
      <t>A</t>
    </r>
  </si>
  <si>
    <r>
      <t>C</t>
    </r>
    <r>
      <rPr>
        <b/>
        <vertAlign val="subscript"/>
        <sz val="11"/>
        <color theme="1"/>
        <rFont val="Times New Roman"/>
        <family val="1"/>
      </rPr>
      <t>Ox</t>
    </r>
  </si>
  <si>
    <r>
      <rPr>
        <b/>
        <sz val="11"/>
        <color theme="1"/>
        <rFont val="Calibri"/>
        <family val="2"/>
      </rPr>
      <t>Δ</t>
    </r>
    <r>
      <rPr>
        <b/>
        <sz val="11"/>
        <color theme="1"/>
        <rFont val="Times New Roman"/>
        <family val="1"/>
      </rPr>
      <t>E</t>
    </r>
  </si>
  <si>
    <r>
      <t>ρ</t>
    </r>
    <r>
      <rPr>
        <b/>
        <vertAlign val="subscript"/>
        <sz val="11"/>
        <color theme="1"/>
        <rFont val="Calibri"/>
        <family val="2"/>
      </rPr>
      <t>D</t>
    </r>
  </si>
  <si>
    <r>
      <t>Γ</t>
    </r>
    <r>
      <rPr>
        <b/>
        <vertAlign val="subscript"/>
        <sz val="11"/>
        <color theme="1"/>
        <rFont val="Times New Roman"/>
        <family val="1"/>
      </rPr>
      <t>1</t>
    </r>
  </si>
  <si>
    <r>
      <rPr>
        <b/>
        <sz val="11"/>
        <color theme="1"/>
        <rFont val="Calibri"/>
        <family val="2"/>
      </rPr>
      <t>Δε</t>
    </r>
    <r>
      <rPr>
        <b/>
        <vertAlign val="subscript"/>
        <sz val="11"/>
        <color theme="1"/>
        <rFont val="Times New Roman"/>
        <family val="1"/>
      </rPr>
      <t>s</t>
    </r>
  </si>
  <si>
    <r>
      <t>I</t>
    </r>
    <r>
      <rPr>
        <b/>
        <vertAlign val="subscript"/>
        <sz val="11"/>
        <color theme="1"/>
        <rFont val="Times New Roman"/>
        <family val="1"/>
      </rPr>
      <t xml:space="preserve">p </t>
    </r>
    <r>
      <rPr>
        <b/>
        <sz val="11"/>
        <color theme="1"/>
        <rFont val="Times New Roman"/>
        <family val="1"/>
      </rPr>
      <t>(calculated)</t>
    </r>
  </si>
  <si>
    <r>
      <t>[I</t>
    </r>
    <r>
      <rPr>
        <b/>
        <vertAlign val="subscript"/>
        <sz val="11"/>
        <color theme="1"/>
        <rFont val="Times New Roman"/>
        <family val="1"/>
        <scheme val="minor"/>
      </rPr>
      <t>p</t>
    </r>
    <r>
      <rPr>
        <b/>
        <sz val="11"/>
        <color theme="1"/>
        <rFont val="Times New Roman"/>
        <family val="1"/>
        <scheme val="minor"/>
      </rPr>
      <t xml:space="preserve"> (measured) -  I</t>
    </r>
    <r>
      <rPr>
        <b/>
        <vertAlign val="subscript"/>
        <sz val="11"/>
        <color theme="1"/>
        <rFont val="Times New Roman"/>
        <family val="1"/>
        <scheme val="minor"/>
      </rPr>
      <t>p</t>
    </r>
    <r>
      <rPr>
        <b/>
        <sz val="11"/>
        <color theme="1"/>
        <rFont val="Times New Roman"/>
        <family val="1"/>
        <scheme val="minor"/>
      </rPr>
      <t xml:space="preserve"> (calculated)]</t>
    </r>
    <r>
      <rPr>
        <b/>
        <vertAlign val="superscript"/>
        <sz val="11"/>
        <color theme="1"/>
        <rFont val="Times New Roman"/>
        <family val="1"/>
        <scheme val="minor"/>
      </rPr>
      <t>2</t>
    </r>
  </si>
  <si>
    <r>
      <t>ν (V s</t>
    </r>
    <r>
      <rPr>
        <b/>
        <vertAlign val="superscript"/>
        <sz val="11"/>
        <color theme="1"/>
        <rFont val="Times New Roman"/>
        <family val="1"/>
      </rPr>
      <t>-1</t>
    </r>
    <r>
      <rPr>
        <b/>
        <sz val="11"/>
        <color theme="1"/>
        <rFont val="Times New Roman"/>
        <family val="1"/>
      </rPr>
      <t>)</t>
    </r>
  </si>
  <si>
    <r>
      <t>I</t>
    </r>
    <r>
      <rPr>
        <b/>
        <vertAlign val="subscript"/>
        <sz val="11"/>
        <color theme="1"/>
        <rFont val="Times New Roman"/>
        <family val="1"/>
        <scheme val="minor"/>
      </rPr>
      <t>p</t>
    </r>
    <r>
      <rPr>
        <b/>
        <sz val="11"/>
        <color theme="1"/>
        <rFont val="Times New Roman"/>
        <family val="2"/>
        <scheme val="minor"/>
      </rPr>
      <t xml:space="preserve"> (measured) (A)</t>
    </r>
  </si>
  <si>
    <r>
      <t>I</t>
    </r>
    <r>
      <rPr>
        <b/>
        <vertAlign val="subscript"/>
        <sz val="11"/>
        <color theme="1"/>
        <rFont val="Times New Roman"/>
        <family val="1"/>
      </rPr>
      <t>p</t>
    </r>
    <r>
      <rPr>
        <b/>
        <sz val="11"/>
        <color theme="1"/>
        <rFont val="Times New Roman"/>
        <family val="1"/>
      </rPr>
      <t xml:space="preserve"> (calculated) (A)</t>
    </r>
  </si>
  <si>
    <r>
      <t>[I</t>
    </r>
    <r>
      <rPr>
        <b/>
        <vertAlign val="subscript"/>
        <sz val="11"/>
        <color theme="1"/>
        <rFont val="Times New Roman"/>
        <family val="1"/>
        <scheme val="minor"/>
      </rPr>
      <t>p</t>
    </r>
    <r>
      <rPr>
        <b/>
        <sz val="11"/>
        <color theme="1"/>
        <rFont val="Times New Roman"/>
        <family val="2"/>
        <scheme val="minor"/>
      </rPr>
      <t xml:space="preserve"> (measured) -  I</t>
    </r>
    <r>
      <rPr>
        <b/>
        <vertAlign val="subscript"/>
        <sz val="11"/>
        <color theme="1"/>
        <rFont val="Times New Roman"/>
        <family val="1"/>
        <scheme val="minor"/>
      </rPr>
      <t>p</t>
    </r>
    <r>
      <rPr>
        <b/>
        <sz val="11"/>
        <color theme="1"/>
        <rFont val="Times New Roman"/>
        <family val="2"/>
        <scheme val="minor"/>
      </rPr>
      <t xml:space="preserve"> (calculated)]</t>
    </r>
    <r>
      <rPr>
        <b/>
        <vertAlign val="superscript"/>
        <sz val="11"/>
        <color theme="1"/>
        <rFont val="Times New Roman"/>
        <family val="1"/>
        <scheme val="minor"/>
      </rPr>
      <t>2</t>
    </r>
  </si>
  <si>
    <t>Step 1:</t>
  </si>
  <si>
    <t xml:space="preserve">Step 1: </t>
  </si>
  <si>
    <t>Step 2:</t>
  </si>
  <si>
    <t>Step 3:</t>
  </si>
  <si>
    <t>Step 4:</t>
  </si>
  <si>
    <t>Step 5:</t>
  </si>
  <si>
    <t>Calculated Diffusion Coefficient</t>
  </si>
  <si>
    <t>Troubleshooting Tips:</t>
  </si>
  <si>
    <r>
      <rPr>
        <b/>
        <sz val="12"/>
        <color theme="1"/>
        <rFont val="Times New Roman"/>
        <family val="1"/>
        <scheme val="minor"/>
      </rPr>
      <t>Source of pre-loaded example data:</t>
    </r>
    <r>
      <rPr>
        <sz val="12"/>
        <color theme="1"/>
        <rFont val="Times New Roman"/>
        <family val="1"/>
        <scheme val="minor"/>
      </rPr>
      <t xml:space="preserve"> Rappleye, D.; Teaford, K.; Simpson, M. F. Investigation of the Effects of Uranium(III)-Chloride Concentration on Voltammetry in Molten LiCl-KCl Eutectic with a Glass Sealed Tungsten Electrode. Electrochimica Acta 2016, 219, 721–733. https://doi.org/10.1016/j.electacta.2016.10.075.</t>
    </r>
  </si>
  <si>
    <r>
      <t>2) If D</t>
    </r>
    <r>
      <rPr>
        <vertAlign val="subscript"/>
        <sz val="11"/>
        <color theme="1"/>
        <rFont val="Times New Roman"/>
        <family val="1"/>
        <scheme val="minor"/>
      </rPr>
      <t>Ox</t>
    </r>
    <r>
      <rPr>
        <sz val="11"/>
        <color theme="1"/>
        <rFont val="Times New Roman"/>
        <family val="2"/>
        <scheme val="minor"/>
      </rPr>
      <t xml:space="preserve"> value does not update after clicking button, click somewhere on the sheet</t>
    </r>
  </si>
  <si>
    <t>4) Click a button of choice (single or multiple scan rate)</t>
  </si>
  <si>
    <t>1) Enable Macros (yellow banner with "enable macro" appears when file is first opened</t>
  </si>
  <si>
    <t>2) Enter inputs, scan rate(s), peak current(s) (cells requiring input values are shaded green)</t>
  </si>
  <si>
    <r>
      <t>3) Enter a guess value for D</t>
    </r>
    <r>
      <rPr>
        <vertAlign val="subscript"/>
        <sz val="11"/>
        <color theme="1"/>
        <rFont val="Times New Roman"/>
        <family val="1"/>
        <scheme val="minor"/>
      </rPr>
      <t>Ox</t>
    </r>
  </si>
  <si>
    <r>
      <rPr>
        <b/>
        <sz val="11"/>
        <color theme="1"/>
        <rFont val="Times New Roman"/>
        <family val="1"/>
        <scheme val="minor"/>
      </rPr>
      <t>**NOTE</t>
    </r>
    <r>
      <rPr>
        <sz val="11"/>
        <color theme="1"/>
        <rFont val="Times New Roman"/>
        <family val="1"/>
        <scheme val="minor"/>
      </rPr>
      <t>: All green and red shaded cells will be cleared when the button above is clicked**</t>
    </r>
  </si>
  <si>
    <t>Sum of Squared Errors</t>
  </si>
  <si>
    <t>3) If all of the desired data is not being used in the multipe scan rate section, adjust the range in the sum function in the cell under "Sum of Squared Errors"</t>
  </si>
  <si>
    <r>
      <t>1) If solver does not converge to a solution, try guessing a different D</t>
    </r>
    <r>
      <rPr>
        <vertAlign val="subscript"/>
        <sz val="11"/>
        <color theme="1"/>
        <rFont val="Times New Roman"/>
        <family val="1"/>
        <scheme val="minor"/>
      </rPr>
      <t>Ox</t>
    </r>
    <r>
      <rPr>
        <sz val="11"/>
        <color theme="1"/>
        <rFont val="Times New Roman"/>
        <family val="2"/>
        <scheme val="minor"/>
      </rPr>
      <t xml:space="preserve"> value. The excel solver does better when your guess value is greater than the solved value.</t>
    </r>
  </si>
  <si>
    <t>4) If buttons to solve do not work, try installing the solver add-in. See "Solver Install Instructions" tab.</t>
  </si>
  <si>
    <r>
      <t>4. A digital staircase is used to approximate a true analogy linear scan (</t>
    </r>
    <r>
      <rPr>
        <sz val="11"/>
        <color theme="1"/>
        <rFont val="Calibri"/>
        <family val="2"/>
      </rPr>
      <t>Δ</t>
    </r>
    <r>
      <rPr>
        <sz val="11"/>
        <color theme="1"/>
        <rFont val="Times New Roman"/>
        <family val="2"/>
      </rPr>
      <t>E = 0 for analog scan)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</si>
</sst>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E+00"/>
    <numFmt numFmtId="165" formatCode="0.00000"/>
    <numFmt numFmtId="166" formatCode="0.0000"/>
    <numFmt numFmtId="167" formatCode="0.0000000"/>
  </numFmts>
  <fonts count="42" x14ac:knownFonts="1">
    <font>
      <sz val="11"/>
      <color theme="1"/>
      <name val="Times New Roman"/>
      <family val="2"/>
      <scheme val="minor"/>
    </font>
    <font>
      <sz val="11"/>
      <color theme="1"/>
      <name val="Calibri"/>
      <family val="2"/>
    </font>
    <font>
      <sz val="11"/>
      <color theme="1"/>
      <name val="Times New Roman"/>
      <family val="1"/>
    </font>
    <font>
      <vertAlign val="superscript"/>
      <sz val="11"/>
      <color theme="1"/>
      <name val="Times New Roman"/>
      <family val="1"/>
    </font>
    <font>
      <b/>
      <sz val="14"/>
      <color theme="1"/>
      <name val="Times New Roman"/>
      <family val="1"/>
    </font>
    <font>
      <sz val="11"/>
      <color theme="1"/>
      <name val="Times New Roman"/>
      <family val="2"/>
    </font>
    <font>
      <b/>
      <sz val="12"/>
      <color theme="1"/>
      <name val="Times New Roman"/>
      <family val="2"/>
      <scheme val="minor"/>
    </font>
    <font>
      <i/>
      <sz val="11"/>
      <color theme="1"/>
      <name val="Times New Roman"/>
      <family val="1"/>
    </font>
    <font>
      <i/>
      <sz val="11"/>
      <color theme="1"/>
      <name val="Times New Roman"/>
      <family val="1"/>
      <scheme val="minor"/>
    </font>
    <font>
      <vertAlign val="subscript"/>
      <sz val="11"/>
      <color theme="1"/>
      <name val="Times New Roman"/>
      <family val="1"/>
      <scheme val="minor"/>
    </font>
    <font>
      <sz val="11"/>
      <color theme="1"/>
      <name val="Times New Roman"/>
      <family val="1"/>
      <scheme val="minor"/>
    </font>
    <font>
      <b/>
      <i/>
      <sz val="14"/>
      <color theme="1"/>
      <name val="Times New Roman"/>
      <family val="1"/>
    </font>
    <font>
      <b/>
      <sz val="11"/>
      <color theme="1"/>
      <name val="Times New Roman"/>
      <family val="1"/>
      <scheme val="minor"/>
    </font>
    <font>
      <b/>
      <sz val="11"/>
      <color rgb="FFFF0000"/>
      <name val="Times New Roman"/>
      <family val="1"/>
      <scheme val="minor"/>
    </font>
    <font>
      <i/>
      <vertAlign val="subscript"/>
      <sz val="11"/>
      <color theme="1"/>
      <name val="Times New Roman"/>
      <family val="1"/>
      <scheme val="minor"/>
    </font>
    <font>
      <b/>
      <u/>
      <sz val="11"/>
      <color theme="1"/>
      <name val="Times New Roman"/>
      <family val="1"/>
      <scheme val="minor"/>
    </font>
    <font>
      <sz val="11"/>
      <color theme="0"/>
      <name val="Times New Roman"/>
      <family val="2"/>
      <scheme val="minor"/>
    </font>
    <font>
      <b/>
      <i/>
      <sz val="11"/>
      <color theme="1"/>
      <name val="Times New Roman"/>
      <family val="1"/>
      <scheme val="minor"/>
    </font>
    <font>
      <b/>
      <sz val="11"/>
      <color theme="1"/>
      <name val="Times New Roman"/>
      <family val="2"/>
      <scheme val="minor"/>
    </font>
    <font>
      <b/>
      <sz val="14"/>
      <color theme="1"/>
      <name val="Times New Roman"/>
      <family val="1"/>
      <scheme val="minor"/>
    </font>
    <font>
      <sz val="14"/>
      <color theme="1"/>
      <name val="Times New Roman"/>
      <family val="1"/>
      <scheme val="minor"/>
    </font>
    <font>
      <vertAlign val="subscript"/>
      <sz val="14"/>
      <color theme="1"/>
      <name val="Times New Roman"/>
      <family val="1"/>
      <scheme val="minor"/>
    </font>
    <font>
      <vertAlign val="superscript"/>
      <sz val="14"/>
      <color theme="1"/>
      <name val="Times New Roman"/>
      <family val="1"/>
      <scheme val="minor"/>
    </font>
    <font>
      <b/>
      <sz val="11"/>
      <color theme="1"/>
      <name val="Times New Roman"/>
      <family val="1"/>
    </font>
    <font>
      <b/>
      <vertAlign val="subscript"/>
      <sz val="11"/>
      <color theme="1"/>
      <name val="Times New Roman"/>
      <family val="1"/>
    </font>
    <font>
      <b/>
      <sz val="11"/>
      <color theme="1"/>
      <name val="Times New Roman"/>
      <family val="2"/>
    </font>
    <font>
      <b/>
      <sz val="11"/>
      <color theme="1"/>
      <name val="Calibri"/>
      <family val="2"/>
    </font>
    <font>
      <b/>
      <vertAlign val="subscript"/>
      <sz val="11"/>
      <color theme="1"/>
      <name val="Calibri"/>
      <family val="2"/>
    </font>
    <font>
      <sz val="11"/>
      <color theme="5" tint="-0.499984740745262"/>
      <name val="Times New Roman"/>
      <family val="1"/>
    </font>
    <font>
      <sz val="11"/>
      <color theme="5" tint="-0.499984740745262"/>
      <name val="Times New Roman"/>
      <family val="1"/>
      <scheme val="minor"/>
    </font>
    <font>
      <sz val="14"/>
      <color theme="6"/>
      <name val="Times New Roman"/>
      <family val="1"/>
      <scheme val="minor"/>
    </font>
    <font>
      <b/>
      <vertAlign val="subscript"/>
      <sz val="11"/>
      <color theme="1"/>
      <name val="Times New Roman"/>
      <family val="1"/>
      <scheme val="minor"/>
    </font>
    <font>
      <b/>
      <vertAlign val="superscript"/>
      <sz val="11"/>
      <color theme="1"/>
      <name val="Times New Roman"/>
      <family val="1"/>
      <scheme val="minor"/>
    </font>
    <font>
      <b/>
      <vertAlign val="superscript"/>
      <sz val="11"/>
      <color theme="1"/>
      <name val="Times New Roman"/>
      <family val="1"/>
    </font>
    <font>
      <b/>
      <i/>
      <sz val="11"/>
      <color theme="1"/>
      <name val="Times New Roman"/>
      <family val="1"/>
    </font>
    <font>
      <sz val="16"/>
      <color theme="1"/>
      <name val="Times New Roman"/>
      <family val="2"/>
      <scheme val="minor"/>
    </font>
    <font>
      <b/>
      <u/>
      <sz val="16"/>
      <color theme="1"/>
      <name val="Times New Roman"/>
      <family val="1"/>
      <scheme val="minor"/>
    </font>
    <font>
      <sz val="12"/>
      <color theme="1"/>
      <name val="Times New Roman"/>
      <family val="1"/>
      <scheme val="minor"/>
    </font>
    <font>
      <b/>
      <sz val="12"/>
      <color theme="1"/>
      <name val="Times New Roman"/>
      <family val="1"/>
      <scheme val="minor"/>
    </font>
    <font>
      <b/>
      <sz val="12"/>
      <color rgb="FF0000FF"/>
      <name val="Times New Roman"/>
      <family val="1"/>
    </font>
    <font>
      <sz val="11"/>
      <name val="Times New Roman"/>
      <family val="1"/>
    </font>
    <font>
      <b/>
      <sz val="11"/>
      <color rgb="FFFF0000"/>
      <name val="Times New Roman"/>
      <family val="1"/>
    </font>
  </fonts>
  <fills count="5">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6" tint="0.79998168889431442"/>
        <bgColor indexed="64"/>
      </patternFill>
    </fill>
  </fills>
  <borders count="35">
    <border>
      <left/>
      <right/>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1">
    <xf numFmtId="0" fontId="0" fillId="0" borderId="0"/>
  </cellStyleXfs>
  <cellXfs count="129">
    <xf numFmtId="0" fontId="0" fillId="0" borderId="0" xfId="0"/>
    <xf numFmtId="0" fontId="0" fillId="2" borderId="0" xfId="0" applyFill="1"/>
    <xf numFmtId="0" fontId="10" fillId="2" borderId="0" xfId="0" applyFont="1"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16" fillId="2" borderId="0" xfId="0" applyFont="1" applyFill="1" applyProtection="1">
      <protection locked="0" hidden="1"/>
    </xf>
    <xf numFmtId="0" fontId="0" fillId="2" borderId="18" xfId="0" applyFill="1" applyBorder="1"/>
    <xf numFmtId="0" fontId="0" fillId="2" borderId="19" xfId="0" applyFill="1" applyBorder="1"/>
    <xf numFmtId="0" fontId="10" fillId="2" borderId="18" xfId="0" applyFont="1" applyFill="1" applyBorder="1"/>
    <xf numFmtId="0" fontId="0" fillId="2" borderId="22" xfId="0" applyFill="1" applyBorder="1"/>
    <xf numFmtId="0" fontId="5" fillId="2" borderId="18" xfId="0" applyFont="1" applyFill="1" applyBorder="1"/>
    <xf numFmtId="0" fontId="1" fillId="2" borderId="22" xfId="0" applyFont="1" applyFill="1" applyBorder="1"/>
    <xf numFmtId="0" fontId="0" fillId="2" borderId="23" xfId="0" applyFill="1" applyBorder="1"/>
    <xf numFmtId="0" fontId="0" fillId="2" borderId="24" xfId="0" applyFill="1" applyBorder="1"/>
    <xf numFmtId="0" fontId="0" fillId="2" borderId="1" xfId="0" applyFill="1" applyBorder="1"/>
    <xf numFmtId="0" fontId="0" fillId="2" borderId="25" xfId="0" applyFill="1" applyBorder="1"/>
    <xf numFmtId="0" fontId="0" fillId="2" borderId="8" xfId="0" applyFill="1" applyBorder="1" applyAlignment="1">
      <alignment wrapText="1"/>
    </xf>
    <xf numFmtId="0" fontId="0" fillId="2" borderId="23" xfId="0" applyFill="1" applyBorder="1" applyAlignment="1">
      <alignment wrapText="1"/>
    </xf>
    <xf numFmtId="0" fontId="6" fillId="2" borderId="0" xfId="0" applyFont="1" applyFill="1" applyAlignment="1">
      <alignment wrapText="1"/>
    </xf>
    <xf numFmtId="0" fontId="6" fillId="2" borderId="0" xfId="0" applyFont="1" applyFill="1" applyAlignment="1">
      <alignment horizontal="center" wrapText="1"/>
    </xf>
    <xf numFmtId="0" fontId="4" fillId="2" borderId="18" xfId="0" applyFont="1" applyFill="1" applyBorder="1" applyAlignment="1">
      <alignment horizontal="center"/>
    </xf>
    <xf numFmtId="0" fontId="4" fillId="2" borderId="0" xfId="0" applyFont="1" applyFill="1" applyAlignment="1">
      <alignment horizontal="center"/>
    </xf>
    <xf numFmtId="0" fontId="4" fillId="2" borderId="19" xfId="0" applyFont="1" applyFill="1" applyBorder="1" applyAlignment="1">
      <alignment horizontal="center"/>
    </xf>
    <xf numFmtId="0" fontId="2" fillId="2" borderId="0" xfId="0" applyFont="1" applyFill="1"/>
    <xf numFmtId="11" fontId="0" fillId="2" borderId="0" xfId="0" applyNumberFormat="1" applyFill="1"/>
    <xf numFmtId="0" fontId="2" fillId="2" borderId="0" xfId="0" applyFont="1" applyFill="1" applyAlignment="1">
      <alignment vertical="center"/>
    </xf>
    <xf numFmtId="0" fontId="2" fillId="2" borderId="19" xfId="0" applyFont="1" applyFill="1" applyBorder="1"/>
    <xf numFmtId="0" fontId="4" fillId="2" borderId="0" xfId="0" applyFont="1" applyFill="1"/>
    <xf numFmtId="0" fontId="7" fillId="2" borderId="0" xfId="0" applyFont="1" applyFill="1"/>
    <xf numFmtId="0" fontId="7" fillId="2" borderId="18" xfId="0" applyFont="1" applyFill="1" applyBorder="1" applyAlignment="1">
      <alignment horizontal="center"/>
    </xf>
    <xf numFmtId="0" fontId="7" fillId="2" borderId="0" xfId="0" applyFont="1" applyFill="1" applyAlignment="1">
      <alignment horizontal="center"/>
    </xf>
    <xf numFmtId="0" fontId="7" fillId="2" borderId="19" xfId="0" applyFont="1" applyFill="1" applyBorder="1" applyAlignment="1">
      <alignment horizontal="center"/>
    </xf>
    <xf numFmtId="0" fontId="5" fillId="2" borderId="0" xfId="0" applyFont="1" applyFill="1"/>
    <xf numFmtId="166" fontId="2" fillId="2" borderId="0" xfId="0" applyNumberFormat="1" applyFont="1" applyFill="1"/>
    <xf numFmtId="0" fontId="1" fillId="2" borderId="0" xfId="0" applyFont="1" applyFill="1"/>
    <xf numFmtId="2" fontId="2" fillId="2" borderId="0" xfId="0" applyNumberFormat="1" applyFont="1" applyFill="1"/>
    <xf numFmtId="0" fontId="11" fillId="2" borderId="0" xfId="0" applyFont="1" applyFill="1"/>
    <xf numFmtId="0" fontId="0" fillId="2" borderId="0" xfId="0" applyFill="1" applyAlignment="1">
      <alignment horizontal="center"/>
    </xf>
    <xf numFmtId="0" fontId="10" fillId="2" borderId="19" xfId="0" applyFont="1" applyFill="1" applyBorder="1" applyAlignment="1">
      <alignment horizontal="center"/>
    </xf>
    <xf numFmtId="164" fontId="2" fillId="2" borderId="0" xfId="0" applyNumberFormat="1" applyFont="1" applyFill="1"/>
    <xf numFmtId="164" fontId="2" fillId="2" borderId="0" xfId="0" applyNumberFormat="1" applyFont="1" applyFill="1" applyAlignment="1">
      <alignment horizontal="center"/>
    </xf>
    <xf numFmtId="167" fontId="0" fillId="2" borderId="19" xfId="0" applyNumberFormat="1" applyFill="1" applyBorder="1"/>
    <xf numFmtId="164" fontId="0" fillId="2" borderId="0" xfId="0" applyNumberFormat="1" applyFill="1"/>
    <xf numFmtId="167" fontId="0" fillId="2" borderId="0" xfId="0" applyNumberFormat="1" applyFill="1" applyAlignment="1">
      <alignment horizontal="center"/>
    </xf>
    <xf numFmtId="167" fontId="0" fillId="2" borderId="0" xfId="0" applyNumberFormat="1" applyFill="1"/>
    <xf numFmtId="0" fontId="23" fillId="2" borderId="18" xfId="0" applyFont="1" applyFill="1" applyBorder="1" applyAlignment="1">
      <alignment horizontal="right"/>
    </xf>
    <xf numFmtId="0" fontId="23" fillId="2" borderId="0" xfId="0" applyFont="1" applyFill="1" applyAlignment="1">
      <alignment horizontal="right" vertical="center"/>
    </xf>
    <xf numFmtId="0" fontId="23" fillId="2" borderId="0" xfId="0" applyFont="1" applyFill="1" applyAlignment="1">
      <alignment horizontal="right"/>
    </xf>
    <xf numFmtId="0" fontId="18" fillId="2" borderId="0" xfId="0" applyFont="1" applyFill="1" applyAlignment="1">
      <alignment horizontal="right"/>
    </xf>
    <xf numFmtId="0" fontId="25" fillId="2" borderId="0" xfId="0" applyFont="1" applyFill="1" applyAlignment="1">
      <alignment horizontal="right"/>
    </xf>
    <xf numFmtId="0" fontId="26" fillId="2" borderId="0" xfId="0" applyFont="1" applyFill="1" applyAlignment="1">
      <alignment horizontal="right"/>
    </xf>
    <xf numFmtId="0" fontId="23" fillId="2" borderId="0" xfId="0" applyFont="1" applyFill="1"/>
    <xf numFmtId="0" fontId="28" fillId="3" borderId="0" xfId="0" applyFont="1" applyFill="1"/>
    <xf numFmtId="165" fontId="29" fillId="3" borderId="0" xfId="0" applyNumberFormat="1" applyFont="1" applyFill="1"/>
    <xf numFmtId="11" fontId="29" fillId="3" borderId="0" xfId="0" applyNumberFormat="1" applyFont="1" applyFill="1"/>
    <xf numFmtId="0" fontId="28" fillId="3" borderId="0" xfId="0" applyFont="1" applyFill="1" applyAlignment="1">
      <alignment vertical="center"/>
    </xf>
    <xf numFmtId="0" fontId="29" fillId="3" borderId="0" xfId="0" applyFont="1" applyFill="1"/>
    <xf numFmtId="0" fontId="20" fillId="4" borderId="10" xfId="0" applyFont="1" applyFill="1" applyBorder="1" applyAlignment="1">
      <alignment horizontal="right"/>
    </xf>
    <xf numFmtId="0" fontId="20" fillId="4" borderId="12" xfId="0" applyFont="1" applyFill="1" applyBorder="1"/>
    <xf numFmtId="0" fontId="12" fillId="2" borderId="0" xfId="0" applyFont="1" applyFill="1" applyAlignment="1">
      <alignment horizontal="right"/>
    </xf>
    <xf numFmtId="2" fontId="2" fillId="2" borderId="0" xfId="0" applyNumberFormat="1" applyFont="1" applyFill="1" applyAlignment="1">
      <alignment horizontal="center"/>
    </xf>
    <xf numFmtId="0" fontId="2" fillId="2" borderId="0" xfId="0" applyFont="1" applyFill="1" applyAlignment="1">
      <alignment horizontal="center"/>
    </xf>
    <xf numFmtId="0" fontId="28" fillId="3" borderId="0" xfId="0" applyFont="1" applyFill="1" applyAlignment="1">
      <alignment horizontal="center"/>
    </xf>
    <xf numFmtId="0" fontId="10" fillId="2" borderId="8" xfId="0" applyFont="1" applyFill="1" applyBorder="1" applyAlignment="1">
      <alignment wrapText="1"/>
    </xf>
    <xf numFmtId="0" fontId="26" fillId="2" borderId="0" xfId="0" applyFont="1" applyFill="1" applyAlignment="1">
      <alignment horizontal="center"/>
    </xf>
    <xf numFmtId="0" fontId="23" fillId="2" borderId="18" xfId="0" applyFont="1" applyFill="1" applyBorder="1" applyAlignment="1">
      <alignment horizontal="right" vertical="center"/>
    </xf>
    <xf numFmtId="0" fontId="29" fillId="2" borderId="0" xfId="0" applyFont="1" applyFill="1"/>
    <xf numFmtId="0" fontId="0" fillId="3" borderId="0" xfId="0" applyFill="1" applyAlignment="1">
      <alignment horizontal="center"/>
    </xf>
    <xf numFmtId="0" fontId="2" fillId="3" borderId="0" xfId="0" applyFont="1" applyFill="1" applyAlignment="1">
      <alignment horizontal="center"/>
    </xf>
    <xf numFmtId="11" fontId="30" fillId="4" borderId="11" xfId="0" applyNumberFormat="1" applyFont="1" applyFill="1" applyBorder="1"/>
    <xf numFmtId="0" fontId="35" fillId="0" borderId="0" xfId="0" applyFont="1"/>
    <xf numFmtId="0" fontId="36" fillId="0" borderId="0" xfId="0" applyFont="1"/>
    <xf numFmtId="0" fontId="40" fillId="2" borderId="0" xfId="0" applyFont="1" applyFill="1"/>
    <xf numFmtId="0" fontId="0" fillId="2" borderId="18" xfId="0" applyFill="1" applyBorder="1" applyAlignment="1">
      <alignment horizontal="center" wrapText="1"/>
    </xf>
    <xf numFmtId="0" fontId="0" fillId="2" borderId="0" xfId="0" applyFill="1" applyAlignment="1">
      <alignment horizontal="center" wrapText="1"/>
    </xf>
    <xf numFmtId="0" fontId="0" fillId="2" borderId="19" xfId="0" applyFill="1" applyBorder="1" applyAlignment="1">
      <alignment horizontal="center" wrapText="1"/>
    </xf>
    <xf numFmtId="0" fontId="12" fillId="2" borderId="15" xfId="0" applyFont="1" applyFill="1" applyBorder="1" applyAlignment="1">
      <alignment horizontal="center" wrapText="1"/>
    </xf>
    <xf numFmtId="0" fontId="12" fillId="2" borderId="16" xfId="0" applyFont="1" applyFill="1" applyBorder="1" applyAlignment="1">
      <alignment horizontal="center" wrapText="1"/>
    </xf>
    <xf numFmtId="0" fontId="12" fillId="2" borderId="17" xfId="0" applyFont="1" applyFill="1" applyBorder="1" applyAlignment="1">
      <alignment horizontal="center" wrapText="1"/>
    </xf>
    <xf numFmtId="0" fontId="12" fillId="2" borderId="26" xfId="0" applyFont="1" applyFill="1" applyBorder="1" applyAlignment="1">
      <alignment horizontal="center" wrapText="1"/>
    </xf>
    <xf numFmtId="0" fontId="12" fillId="2" borderId="14" xfId="0" applyFont="1" applyFill="1" applyBorder="1" applyAlignment="1">
      <alignment horizontal="center" wrapText="1"/>
    </xf>
    <xf numFmtId="0" fontId="12" fillId="2" borderId="27" xfId="0" applyFont="1" applyFill="1" applyBorder="1" applyAlignment="1">
      <alignment horizontal="center" wrapText="1"/>
    </xf>
    <xf numFmtId="0" fontId="13" fillId="2" borderId="18" xfId="0" applyFont="1" applyFill="1" applyBorder="1" applyAlignment="1">
      <alignment horizontal="center"/>
    </xf>
    <xf numFmtId="0" fontId="13" fillId="2" borderId="0" xfId="0" applyFont="1" applyFill="1" applyAlignment="1">
      <alignment horizontal="center"/>
    </xf>
    <xf numFmtId="0" fontId="13" fillId="2" borderId="19" xfId="0" applyFont="1" applyFill="1" applyBorder="1" applyAlignment="1">
      <alignment horizontal="center"/>
    </xf>
    <xf numFmtId="0" fontId="0" fillId="2" borderId="0" xfId="0" applyFill="1" applyAlignment="1">
      <alignment horizontal="left" wrapText="1"/>
    </xf>
    <xf numFmtId="0" fontId="0" fillId="2" borderId="19" xfId="0" applyFill="1" applyBorder="1" applyAlignment="1">
      <alignment horizontal="left" wrapText="1"/>
    </xf>
    <xf numFmtId="0" fontId="15" fillId="2" borderId="28" xfId="0" applyFont="1" applyFill="1" applyBorder="1" applyAlignment="1">
      <alignment horizontal="center"/>
    </xf>
    <xf numFmtId="0" fontId="15" fillId="2" borderId="11" xfId="0" applyFont="1" applyFill="1" applyBorder="1" applyAlignment="1">
      <alignment horizontal="center"/>
    </xf>
    <xf numFmtId="0" fontId="15" fillId="2" borderId="29" xfId="0" applyFont="1" applyFill="1" applyBorder="1" applyAlignment="1">
      <alignment horizontal="center"/>
    </xf>
    <xf numFmtId="0" fontId="8" fillId="2" borderId="18" xfId="0" applyFont="1" applyFill="1" applyBorder="1" applyAlignment="1">
      <alignment horizontal="center" wrapText="1"/>
    </xf>
    <xf numFmtId="0" fontId="0" fillId="2" borderId="20"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2" xfId="0" applyFill="1" applyBorder="1" applyAlignment="1">
      <alignment horizontal="center"/>
    </xf>
    <xf numFmtId="0" fontId="0" fillId="2" borderId="21" xfId="0" applyFill="1" applyBorder="1" applyAlignment="1">
      <alignment horizontal="center"/>
    </xf>
    <xf numFmtId="0" fontId="10" fillId="2" borderId="20" xfId="0" applyFont="1" applyFill="1" applyBorder="1" applyAlignment="1">
      <alignment horizontal="center"/>
    </xf>
    <xf numFmtId="0" fontId="10" fillId="2" borderId="3" xfId="0" applyFont="1" applyFill="1" applyBorder="1" applyAlignment="1">
      <alignment horizontal="center"/>
    </xf>
    <xf numFmtId="164" fontId="2" fillId="2" borderId="0" xfId="0" applyNumberFormat="1" applyFont="1" applyFill="1" applyAlignment="1">
      <alignment horizontal="center"/>
    </xf>
    <xf numFmtId="0" fontId="19" fillId="2" borderId="30" xfId="0" applyFont="1" applyFill="1" applyBorder="1" applyAlignment="1">
      <alignment horizontal="center"/>
    </xf>
    <xf numFmtId="0" fontId="19" fillId="2" borderId="13" xfId="0" applyFont="1" applyFill="1" applyBorder="1" applyAlignment="1">
      <alignment horizontal="center"/>
    </xf>
    <xf numFmtId="0" fontId="19" fillId="2" borderId="31" xfId="0" applyFont="1" applyFill="1" applyBorder="1" applyAlignment="1">
      <alignment horizontal="center"/>
    </xf>
    <xf numFmtId="0" fontId="37" fillId="0" borderId="0" xfId="0" applyFont="1" applyAlignment="1">
      <alignment horizontal="left" wrapText="1"/>
    </xf>
    <xf numFmtId="0" fontId="0" fillId="2" borderId="0" xfId="0" applyFill="1" applyAlignment="1">
      <alignment horizontal="center"/>
    </xf>
    <xf numFmtId="0" fontId="19" fillId="2" borderId="32" xfId="0" applyFont="1" applyFill="1" applyBorder="1" applyAlignment="1">
      <alignment horizontal="center" vertical="center"/>
    </xf>
    <xf numFmtId="0" fontId="19" fillId="2" borderId="33" xfId="0" applyFont="1" applyFill="1" applyBorder="1" applyAlignment="1">
      <alignment horizontal="center" vertical="center"/>
    </xf>
    <xf numFmtId="0" fontId="19" fillId="2" borderId="34" xfId="0" applyFont="1" applyFill="1" applyBorder="1" applyAlignment="1">
      <alignment horizontal="center" vertical="center"/>
    </xf>
    <xf numFmtId="0" fontId="10" fillId="2" borderId="18" xfId="0" applyFont="1" applyFill="1" applyBorder="1" applyAlignment="1">
      <alignment horizontal="left" wrapText="1"/>
    </xf>
    <xf numFmtId="0" fontId="10" fillId="2" borderId="0" xfId="0" applyFont="1" applyFill="1" applyAlignment="1">
      <alignment horizontal="left" wrapText="1"/>
    </xf>
    <xf numFmtId="0" fontId="10" fillId="2" borderId="19" xfId="0" applyFont="1" applyFill="1" applyBorder="1" applyAlignment="1">
      <alignment horizontal="left" wrapText="1"/>
    </xf>
    <xf numFmtId="0" fontId="10" fillId="2" borderId="18" xfId="0" applyFont="1" applyFill="1" applyBorder="1" applyAlignment="1">
      <alignment horizontal="left"/>
    </xf>
    <xf numFmtId="0" fontId="10" fillId="2" borderId="0" xfId="0" applyFont="1" applyFill="1" applyAlignment="1">
      <alignment horizontal="left"/>
    </xf>
    <xf numFmtId="0" fontId="10" fillId="2" borderId="19" xfId="0" applyFont="1" applyFill="1" applyBorder="1" applyAlignment="1">
      <alignment horizontal="left"/>
    </xf>
    <xf numFmtId="0" fontId="4" fillId="2" borderId="30" xfId="0" applyFont="1" applyFill="1" applyBorder="1" applyAlignment="1">
      <alignment horizontal="center"/>
    </xf>
    <xf numFmtId="0" fontId="4" fillId="2" borderId="13" xfId="0" applyFont="1" applyFill="1" applyBorder="1" applyAlignment="1">
      <alignment horizontal="center"/>
    </xf>
    <xf numFmtId="0" fontId="4" fillId="2" borderId="31" xfId="0" applyFont="1" applyFill="1" applyBorder="1" applyAlignment="1">
      <alignment horizontal="center"/>
    </xf>
    <xf numFmtId="0" fontId="10" fillId="2" borderId="22"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8" xfId="0" applyFont="1" applyFill="1" applyBorder="1" applyAlignment="1">
      <alignment horizontal="center" wrapText="1"/>
    </xf>
    <xf numFmtId="0" fontId="10" fillId="2" borderId="23" xfId="0" applyFont="1" applyFill="1" applyBorder="1" applyAlignment="1">
      <alignment horizontal="center" wrapText="1"/>
    </xf>
    <xf numFmtId="0" fontId="34" fillId="2" borderId="28" xfId="0" applyFont="1" applyFill="1" applyBorder="1" applyAlignment="1">
      <alignment horizontal="center"/>
    </xf>
    <xf numFmtId="0" fontId="34" fillId="2" borderId="11" xfId="0" applyFont="1" applyFill="1" applyBorder="1" applyAlignment="1">
      <alignment horizontal="center"/>
    </xf>
    <xf numFmtId="0" fontId="34" fillId="2" borderId="29" xfId="0" applyFont="1" applyFill="1" applyBorder="1" applyAlignment="1">
      <alignment horizontal="center"/>
    </xf>
    <xf numFmtId="0" fontId="18" fillId="2" borderId="0" xfId="0" applyFont="1" applyFill="1" applyAlignment="1">
      <alignment horizontal="center"/>
    </xf>
    <xf numFmtId="0" fontId="23" fillId="2" borderId="0" xfId="0" applyFont="1" applyFill="1" applyAlignment="1">
      <alignment horizontal="right"/>
    </xf>
    <xf numFmtId="0" fontId="12" fillId="2" borderId="0" xfId="0"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3</xdr:col>
      <xdr:colOff>252412</xdr:colOff>
      <xdr:row>19</xdr:row>
      <xdr:rowOff>33337</xdr:rowOff>
    </xdr:from>
    <xdr:ext cx="894027" cy="32829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r>
                      <a:rPr lang="en-US" sz="110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𝑒</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i="1">
                                <a:solidFill>
                                  <a:schemeClr val="tx1"/>
                                </a:solidFill>
                                <a:effectLst/>
                                <a:latin typeface="Cambria Math" panose="02040503050406030204" pitchFamily="18" charset="0"/>
                                <a:ea typeface="+mn-ea"/>
                                <a:cs typeface="+mn-cs"/>
                              </a:rPr>
                              <m:t>𝐷</m:t>
                            </m:r>
                          </m:sub>
                        </m:sSub>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2</m:t>
                            </m:r>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𝑟</m:t>
                                </m:r>
                              </m:e>
                              <m:sub>
                                <m:r>
                                  <a:rPr lang="en-US" sz="1100" i="1">
                                    <a:solidFill>
                                      <a:schemeClr val="tx1"/>
                                    </a:solidFill>
                                    <a:effectLst/>
                                    <a:latin typeface="Cambria Math" panose="02040503050406030204" pitchFamily="18" charset="0"/>
                                    <a:ea typeface="+mn-ea"/>
                                    <a:cs typeface="+mn-cs"/>
                                  </a:rPr>
                                  <m:t>𝑎</m:t>
                                </m:r>
                              </m:sub>
                            </m:sSub>
                          </m:e>
                        </m:d>
                      </m:num>
                      <m:den>
                        <m:r>
                          <a:rPr lang="en-US" sz="1100" b="0" i="1">
                            <a:solidFill>
                              <a:schemeClr val="tx1"/>
                            </a:solidFill>
                            <a:effectLst/>
                            <a:latin typeface="Cambria Math" panose="02040503050406030204" pitchFamily="18" charset="0"/>
                            <a:ea typeface="+mn-ea"/>
                            <a:cs typeface="+mn-cs"/>
                          </a:rPr>
                          <m:t>𝑀𝑊</m:t>
                        </m:r>
                      </m:den>
                    </m:f>
                  </m:oMath>
                </m:oMathPara>
              </a14:m>
              <a:endParaRPr lang="en-US" sz="1100"/>
            </a:p>
          </xdr:txBody>
        </xdr:sp>
      </mc:Choice>
      <mc:Fallback xmlns="">
        <xdr:sp macro="" textlink="">
          <xdr:nvSpPr>
            <xdr:cNvPr id="7" name="TextBox 6">
              <a:extLst>
                <a:ext uri="{FF2B5EF4-FFF2-40B4-BE49-F238E27FC236}">
                  <a16:creationId xmlns:a16="http://schemas.microsoft.com/office/drawing/2014/main" id="{F486B332-0824-B81E-2727-F79D11699287}"/>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𝛤_1=</a:t>
              </a:r>
              <a:r>
                <a:rPr lang="en-US" sz="1100" b="0" i="0">
                  <a:solidFill>
                    <a:schemeClr val="tx1"/>
                  </a:solidFill>
                  <a:effectLst/>
                  <a:latin typeface="Cambria Math" panose="02040503050406030204" pitchFamily="18" charset="0"/>
                  <a:ea typeface="+mn-ea"/>
                  <a:cs typeface="+mn-cs"/>
                </a:rPr>
                <a:t>𝑒</a:t>
              </a:r>
              <a:r>
                <a:rPr lang="en-US" sz="1100" i="0">
                  <a:solidFill>
                    <a:schemeClr val="tx1"/>
                  </a:solidFill>
                  <a:effectLst/>
                  <a:latin typeface="+mn-lt"/>
                  <a:ea typeface="+mn-ea"/>
                  <a:cs typeface="+mn-cs"/>
                </a:rPr>
                <a:t> (𝜌_𝐷 (2𝑟_𝑎 ))/</a:t>
              </a:r>
              <a:r>
                <a:rPr lang="en-US" sz="1100" b="0" i="0">
                  <a:solidFill>
                    <a:schemeClr val="tx1"/>
                  </a:solidFill>
                  <a:effectLst/>
                  <a:latin typeface="Cambria Math" panose="02040503050406030204" pitchFamily="18" charset="0"/>
                  <a:ea typeface="+mn-ea"/>
                  <a:cs typeface="+mn-cs"/>
                </a:rPr>
                <a:t>𝑀𝑊</a:t>
              </a:r>
              <a:endParaRPr lang="en-US" sz="1100"/>
            </a:p>
          </xdr:txBody>
        </xdr:sp>
      </mc:Fallback>
    </mc:AlternateContent>
    <xdr:clientData/>
  </xdr:oneCellAnchor>
  <xdr:oneCellAnchor>
    <xdr:from>
      <xdr:col>1</xdr:col>
      <xdr:colOff>319087</xdr:colOff>
      <xdr:row>22</xdr:row>
      <xdr:rowOff>100012</xdr:rowOff>
    </xdr:from>
    <xdr:ext cx="3065839" cy="50283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𝐼</m:t>
                        </m:r>
                      </m:e>
                      <m:sub>
                        <m:r>
                          <a:rPr lang="en-US" sz="1100" i="1">
                            <a:solidFill>
                              <a:schemeClr val="tx1"/>
                            </a:solidFill>
                            <a:effectLst/>
                            <a:latin typeface="Cambria Math" panose="02040503050406030204" pitchFamily="18" charset="0"/>
                            <a:ea typeface="+mn-ea"/>
                            <a:cs typeface="+mn-cs"/>
                          </a:rPr>
                          <m:t>𝑝</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0.611</m:t>
                        </m:r>
                        <m:r>
                          <a:rPr lang="en-US" sz="1100" i="1">
                            <a:solidFill>
                              <a:schemeClr val="tx1"/>
                            </a:solidFill>
                            <a:effectLst/>
                            <a:latin typeface="Cambria Math" panose="02040503050406030204" pitchFamily="18" charset="0"/>
                            <a:ea typeface="+mn-ea"/>
                            <a:cs typeface="+mn-cs"/>
                          </a:rPr>
                          <m:t>𝐴</m:t>
                        </m:r>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1+0.588</m:t>
                            </m:r>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e>
                            </m:rad>
                          </m:e>
                        </m:d>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1+0.16/</m:t>
                            </m:r>
                            <m:r>
                              <a:rPr lang="en-US" sz="1100" i="1">
                                <a:solidFill>
                                  <a:schemeClr val="tx1"/>
                                </a:solidFill>
                                <a:effectLst/>
                                <a:latin typeface="Cambria Math" panose="02040503050406030204" pitchFamily="18" charset="0"/>
                                <a:ea typeface="+mn-ea"/>
                                <a:cs typeface="+mn-cs"/>
                              </a:rPr>
                              <m:t>𝜒</m:t>
                            </m:r>
                          </m:e>
                        </m:d>
                      </m:den>
                    </m:f>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f>
                          <m:fPr>
                            <m:ctrlPr>
                              <a:rPr lang="en-US" sz="1100" i="1">
                                <a:solidFill>
                                  <a:schemeClr val="tx1"/>
                                </a:solidFill>
                                <a:effectLst/>
                                <a:latin typeface="Cambria Math" panose="02040503050406030204" pitchFamily="18" charset="0"/>
                                <a:ea typeface="+mn-ea"/>
                                <a:cs typeface="+mn-cs"/>
                              </a:rPr>
                            </m:ctrlPr>
                          </m:fPr>
                          <m:num>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𝑛</m:t>
                                </m:r>
                              </m:e>
                              <m:sup>
                                <m:r>
                                  <a:rPr lang="en-US" sz="1100" i="1">
                                    <a:solidFill>
                                      <a:schemeClr val="tx1"/>
                                    </a:solidFill>
                                    <a:effectLst/>
                                    <a:latin typeface="Cambria Math" panose="02040503050406030204" pitchFamily="18" charset="0"/>
                                    <a:ea typeface="+mn-ea"/>
                                    <a:cs typeface="+mn-cs"/>
                                  </a:rPr>
                                  <m:t>3</m:t>
                                </m:r>
                              </m:sup>
                            </m:sSup>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𝐹</m:t>
                                </m:r>
                              </m:e>
                              <m:sup>
                                <m:r>
                                  <a:rPr lang="en-US" sz="1100" i="1">
                                    <a:solidFill>
                                      <a:schemeClr val="tx1"/>
                                    </a:solidFill>
                                    <a:effectLst/>
                                    <a:latin typeface="Cambria Math" panose="02040503050406030204" pitchFamily="18" charset="0"/>
                                    <a:ea typeface="+mn-ea"/>
                                    <a:cs typeface="+mn-cs"/>
                                  </a:rPr>
                                  <m:t>3</m:t>
                                </m:r>
                              </m:sup>
                            </m:sSup>
                          </m:num>
                          <m:den>
                            <m:r>
                              <a:rPr lang="en-US" sz="1100" i="1">
                                <a:solidFill>
                                  <a:schemeClr val="tx1"/>
                                </a:solidFill>
                                <a:effectLst/>
                                <a:latin typeface="Cambria Math" panose="02040503050406030204" pitchFamily="18" charset="0"/>
                                <a:ea typeface="+mn-ea"/>
                                <a:cs typeface="+mn-cs"/>
                              </a:rPr>
                              <m:t>𝑅𝑇</m:t>
                            </m:r>
                          </m:den>
                        </m:f>
                        <m:r>
                          <a:rPr lang="en-US" sz="1100" i="1">
                            <a:solidFill>
                              <a:schemeClr val="tx1"/>
                            </a:solidFill>
                            <a:effectLst/>
                            <a:latin typeface="Cambria Math" panose="02040503050406030204" pitchFamily="18" charset="0"/>
                            <a:ea typeface="+mn-ea"/>
                            <a:cs typeface="+mn-cs"/>
                          </a:rPr>
                          <m:t>𝜈</m:t>
                        </m:r>
                      </m:e>
                    </m:rad>
                  </m:oMath>
                </m:oMathPara>
              </a14:m>
              <a:endParaRPr lang="en-US" sz="1100"/>
            </a:p>
          </xdr:txBody>
        </xdr:sp>
      </mc:Choice>
      <mc:Fallback xmlns="">
        <xdr:sp macro="" textlink="">
          <xdr:nvSpPr>
            <xdr:cNvPr id="8" name="TextBox 7">
              <a:extLst>
                <a:ext uri="{FF2B5EF4-FFF2-40B4-BE49-F238E27FC236}">
                  <a16:creationId xmlns:a16="http://schemas.microsoft.com/office/drawing/2014/main" id="{661C7BFC-DE73-19CF-ECB3-33E5FDF8E7F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𝐼_𝑝= −(0.611𝐴𝐶_𝑂𝑥^∗)/(1+0.588√(〖∆𝜀〗_𝑠 ))(1+0.16/𝜒)  √(𝐷_𝑂𝑥  (𝑛^3 𝐹^3)/𝑅𝑇 𝜈)</a:t>
              </a:r>
              <a:endParaRPr lang="en-US" sz="1100"/>
            </a:p>
          </xdr:txBody>
        </xdr:sp>
      </mc:Fallback>
    </mc:AlternateContent>
    <xdr:clientData/>
  </xdr:oneCellAnchor>
  <xdr:oneCellAnchor>
    <xdr:from>
      <xdr:col>8</xdr:col>
      <xdr:colOff>128587</xdr:colOff>
      <xdr:row>19</xdr:row>
      <xdr:rowOff>147637</xdr:rowOff>
    </xdr:from>
    <xdr:ext cx="879536" cy="31579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𝑛𝐹</m:t>
                        </m:r>
                      </m:num>
                      <m:den>
                        <m:r>
                          <a:rPr lang="en-US" sz="1100" i="1">
                            <a:solidFill>
                              <a:schemeClr val="tx1"/>
                            </a:solidFill>
                            <a:effectLst/>
                            <a:latin typeface="Cambria Math" panose="02040503050406030204" pitchFamily="18" charset="0"/>
                            <a:ea typeface="+mn-ea"/>
                            <a:cs typeface="+mn-cs"/>
                          </a:rPr>
                          <m:t>𝑅𝑇</m:t>
                        </m:r>
                      </m:den>
                    </m:f>
                    <m:d>
                      <m:dPr>
                        <m:begChr m:val="|"/>
                        <m:endChr m:val="|"/>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𝐸</m:t>
                        </m:r>
                      </m:e>
                    </m:d>
                  </m:oMath>
                </m:oMathPara>
              </a14:m>
              <a:endParaRPr lang="en-US" sz="1100"/>
            </a:p>
          </xdr:txBody>
        </xdr:sp>
      </mc:Choice>
      <mc:Fallback xmlns="">
        <xdr:sp macro="" textlink="">
          <xdr:nvSpPr>
            <xdr:cNvPr id="9" name="TextBox 8">
              <a:extLst>
                <a:ext uri="{FF2B5EF4-FFF2-40B4-BE49-F238E27FC236}">
                  <a16:creationId xmlns:a16="http://schemas.microsoft.com/office/drawing/2014/main" id="{A7477367-667D-8654-73CB-3FD7457E6F3D}"/>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〖∆𝜀〗_𝑠=  𝑛𝐹/𝑅𝑇 |∆𝐸|</a:t>
              </a:r>
              <a:endParaRPr lang="en-US" sz="1100"/>
            </a:p>
          </xdr:txBody>
        </xdr:sp>
      </mc:Fallback>
    </mc:AlternateContent>
    <xdr:clientData/>
  </xdr:oneCellAnchor>
  <xdr:oneCellAnchor>
    <xdr:from>
      <xdr:col>8</xdr:col>
      <xdr:colOff>23812</xdr:colOff>
      <xdr:row>22</xdr:row>
      <xdr:rowOff>128587</xdr:rowOff>
    </xdr:from>
    <xdr:ext cx="1073691" cy="50013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solidFill>
                          <a:schemeClr val="tx1"/>
                        </a:solidFill>
                        <a:effectLst/>
                        <a:latin typeface="Cambria Math" panose="02040503050406030204" pitchFamily="18" charset="0"/>
                        <a:ea typeface="+mn-ea"/>
                        <a:cs typeface="+mn-cs"/>
                      </a:rPr>
                      <m:t>𝜒</m:t>
                    </m:r>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den>
                    </m:f>
                    <m:rad>
                      <m:radPr>
                        <m:degHide m:val="on"/>
                        <m:ctrlPr>
                          <a:rPr lang="en-US" sz="1100" i="1">
                            <a:solidFill>
                              <a:schemeClr val="tx1"/>
                            </a:solidFill>
                            <a:effectLst/>
                            <a:latin typeface="Cambria Math" panose="02040503050406030204" pitchFamily="18" charset="0"/>
                            <a:ea typeface="+mn-ea"/>
                            <a:cs typeface="+mn-cs"/>
                          </a:rPr>
                        </m:ctrlPr>
                      </m:radPr>
                      <m:deg/>
                      <m:e>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r>
                              <a:rPr lang="en-US" sz="1100" i="1">
                                <a:solidFill>
                                  <a:schemeClr val="tx1"/>
                                </a:solidFill>
                                <a:effectLst/>
                                <a:latin typeface="Cambria Math" panose="02040503050406030204" pitchFamily="18" charset="0"/>
                                <a:ea typeface="+mn-ea"/>
                                <a:cs typeface="+mn-cs"/>
                              </a:rPr>
                              <m:t>𝑅𝑇</m:t>
                            </m:r>
                          </m:num>
                          <m:den>
                            <m:r>
                              <a:rPr lang="en-US" sz="1100" i="1">
                                <a:solidFill>
                                  <a:schemeClr val="tx1"/>
                                </a:solidFill>
                                <a:effectLst/>
                                <a:latin typeface="Cambria Math" panose="02040503050406030204" pitchFamily="18" charset="0"/>
                                <a:ea typeface="+mn-ea"/>
                                <a:cs typeface="+mn-cs"/>
                              </a:rPr>
                              <m:t>𝑛𝐹</m:t>
                            </m:r>
                            <m:r>
                              <a:rPr lang="en-US" sz="1100" i="1">
                                <a:solidFill>
                                  <a:schemeClr val="tx1"/>
                                </a:solidFill>
                                <a:effectLst/>
                                <a:latin typeface="Cambria Math" panose="02040503050406030204" pitchFamily="18" charset="0"/>
                                <a:ea typeface="+mn-ea"/>
                                <a:cs typeface="+mn-cs"/>
                              </a:rPr>
                              <m:t>𝜈</m:t>
                            </m:r>
                          </m:den>
                        </m:f>
                      </m:e>
                    </m:rad>
                  </m:oMath>
                </m:oMathPara>
              </a14:m>
              <a:endParaRPr lang="en-US" sz="1100"/>
            </a:p>
          </xdr:txBody>
        </xdr:sp>
      </mc:Choice>
      <mc:Fallback xmlns="">
        <xdr:sp macro="" textlink="">
          <xdr:nvSpPr>
            <xdr:cNvPr id="10" name="TextBox 9">
              <a:extLst>
                <a:ext uri="{FF2B5EF4-FFF2-40B4-BE49-F238E27FC236}">
                  <a16:creationId xmlns:a16="http://schemas.microsoft.com/office/drawing/2014/main" id="{9CEE2B37-7B9A-AF2A-5E70-31AC226F4BAD}"/>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𝜒=  (𝐶_𝑂𝑥^∗)/𝛤_1  √((𝐷_𝑂𝑥 𝑅𝑇)/𝑛𝐹𝜈)</a:t>
              </a:r>
              <a:endParaRPr lang="en-US" sz="1100"/>
            </a:p>
          </xdr:txBody>
        </xdr:sp>
      </mc:Fallback>
    </mc:AlternateContent>
    <xdr:clientData/>
  </xdr:oneCellAnchor>
  <xdr:twoCellAnchor editAs="oneCell">
    <xdr:from>
      <xdr:col>6</xdr:col>
      <xdr:colOff>152400</xdr:colOff>
      <xdr:row>26</xdr:row>
      <xdr:rowOff>66675</xdr:rowOff>
    </xdr:from>
    <xdr:to>
      <xdr:col>10</xdr:col>
      <xdr:colOff>457438</xdr:colOff>
      <xdr:row>41</xdr:row>
      <xdr:rowOff>98929</xdr:rowOff>
    </xdr:to>
    <xdr:pic>
      <xdr:nvPicPr>
        <xdr:cNvPr id="4" name="Picture 3">
          <a:extLst>
            <a:ext uri="{FF2B5EF4-FFF2-40B4-BE49-F238E27FC236}">
              <a16:creationId xmlns:a16="http://schemas.microsoft.com/office/drawing/2014/main" id="{A79F7922-A72C-0C13-726B-BA5EA22A39D3}"/>
            </a:ext>
          </a:extLst>
        </xdr:cNvPr>
        <xdr:cNvPicPr>
          <a:picLocks noChangeAspect="1"/>
        </xdr:cNvPicPr>
      </xdr:nvPicPr>
      <xdr:blipFill>
        <a:blip xmlns:r="http://schemas.openxmlformats.org/officeDocument/2006/relationships" r:embed="rId1"/>
        <a:stretch>
          <a:fillRect/>
        </a:stretch>
      </xdr:blipFill>
      <xdr:spPr>
        <a:xfrm>
          <a:off x="3810000" y="5172075"/>
          <a:ext cx="2743438" cy="2889754"/>
        </a:xfrm>
        <a:prstGeom prst="rect">
          <a:avLst/>
        </a:prstGeom>
      </xdr:spPr>
    </xdr:pic>
    <xdr:clientData/>
  </xdr:twoCellAnchor>
  <xdr:twoCellAnchor editAs="oneCell">
    <xdr:from>
      <xdr:col>1</xdr:col>
      <xdr:colOff>161925</xdr:colOff>
      <xdr:row>26</xdr:row>
      <xdr:rowOff>57150</xdr:rowOff>
    </xdr:from>
    <xdr:to>
      <xdr:col>5</xdr:col>
      <xdr:colOff>460866</xdr:colOff>
      <xdr:row>41</xdr:row>
      <xdr:rowOff>83308</xdr:rowOff>
    </xdr:to>
    <xdr:pic>
      <xdr:nvPicPr>
        <xdr:cNvPr id="6" name="Picture 5">
          <a:extLst>
            <a:ext uri="{FF2B5EF4-FFF2-40B4-BE49-F238E27FC236}">
              <a16:creationId xmlns:a16="http://schemas.microsoft.com/office/drawing/2014/main" id="{5BF1CDDE-D612-670B-8B1E-BB95B787B82E}"/>
            </a:ext>
          </a:extLst>
        </xdr:cNvPr>
        <xdr:cNvPicPr>
          <a:picLocks noChangeAspect="1"/>
        </xdr:cNvPicPr>
      </xdr:nvPicPr>
      <xdr:blipFill>
        <a:blip xmlns:r="http://schemas.openxmlformats.org/officeDocument/2006/relationships" r:embed="rId2"/>
        <a:stretch>
          <a:fillRect/>
        </a:stretch>
      </xdr:blipFill>
      <xdr:spPr>
        <a:xfrm>
          <a:off x="771525" y="5162550"/>
          <a:ext cx="2737341" cy="28836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371475</xdr:colOff>
          <xdr:row>17</xdr:row>
          <xdr:rowOff>47625</xdr:rowOff>
        </xdr:from>
        <xdr:to>
          <xdr:col>12</xdr:col>
          <xdr:colOff>542925</xdr:colOff>
          <xdr:row>19</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a Single Scan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28575</xdr:rowOff>
        </xdr:from>
        <xdr:to>
          <xdr:col>12</xdr:col>
          <xdr:colOff>438150</xdr:colOff>
          <xdr:row>29</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Multiple Scan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3</xdr:row>
          <xdr:rowOff>9525</xdr:rowOff>
        </xdr:from>
        <xdr:to>
          <xdr:col>12</xdr:col>
          <xdr:colOff>285750</xdr:colOff>
          <xdr:row>4</xdr:row>
          <xdr:rowOff>123825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Times New Roman"/>
                  <a:cs typeface="Times New Roman"/>
                </a:rPr>
                <a:t>Clear ALL input and D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161926</xdr:colOff>
      <xdr:row>1</xdr:row>
      <xdr:rowOff>85725</xdr:rowOff>
    </xdr:from>
    <xdr:to>
      <xdr:col>8</xdr:col>
      <xdr:colOff>257176</xdr:colOff>
      <xdr:row>12</xdr:row>
      <xdr:rowOff>76169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61926" y="342900"/>
          <a:ext cx="4972050" cy="2819369"/>
        </a:xfrm>
        <a:prstGeom prst="rect">
          <a:avLst/>
        </a:prstGeom>
      </xdr:spPr>
    </xdr:pic>
    <xdr:clientData/>
  </xdr:twoCellAnchor>
  <xdr:twoCellAnchor>
    <xdr:from>
      <xdr:col>0</xdr:col>
      <xdr:colOff>190500</xdr:colOff>
      <xdr:row>2</xdr:row>
      <xdr:rowOff>133350</xdr:rowOff>
    </xdr:from>
    <xdr:to>
      <xdr:col>1</xdr:col>
      <xdr:colOff>133350</xdr:colOff>
      <xdr:row>4</xdr:row>
      <xdr:rowOff>85725</xdr:rowOff>
    </xdr:to>
    <xdr:sp macro="" textlink="">
      <xdr:nvSpPr>
        <xdr:cNvPr id="4" name="Oval 3">
          <a:extLst>
            <a:ext uri="{FF2B5EF4-FFF2-40B4-BE49-F238E27FC236}">
              <a16:creationId xmlns:a16="http://schemas.microsoft.com/office/drawing/2014/main" id="{00000000-0008-0000-0200-000004000000}"/>
            </a:ext>
          </a:extLst>
        </xdr:cNvPr>
        <xdr:cNvSpPr/>
      </xdr:nvSpPr>
      <xdr:spPr>
        <a:xfrm>
          <a:off x="190500" y="647700"/>
          <a:ext cx="552450" cy="4667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19050</xdr:colOff>
      <xdr:row>14</xdr:row>
      <xdr:rowOff>133350</xdr:rowOff>
    </xdr:from>
    <xdr:to>
      <xdr:col>5</xdr:col>
      <xdr:colOff>31368</xdr:colOff>
      <xdr:row>29</xdr:row>
      <xdr:rowOff>21757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9050" y="3733800"/>
          <a:ext cx="3060318" cy="3746032"/>
        </a:xfrm>
        <a:prstGeom prst="rect">
          <a:avLst/>
        </a:prstGeom>
      </xdr:spPr>
    </xdr:pic>
    <xdr:clientData/>
  </xdr:twoCellAnchor>
  <xdr:twoCellAnchor>
    <xdr:from>
      <xdr:col>0</xdr:col>
      <xdr:colOff>361950</xdr:colOff>
      <xdr:row>26</xdr:row>
      <xdr:rowOff>238125</xdr:rowOff>
    </xdr:from>
    <xdr:to>
      <xdr:col>2</xdr:col>
      <xdr:colOff>257175</xdr:colOff>
      <xdr:row>28</xdr:row>
      <xdr:rowOff>219075</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361950" y="6924675"/>
          <a:ext cx="1114425" cy="4953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200025</xdr:colOff>
      <xdr:row>31</xdr:row>
      <xdr:rowOff>57150</xdr:rowOff>
    </xdr:from>
    <xdr:to>
      <xdr:col>4</xdr:col>
      <xdr:colOff>256863</xdr:colOff>
      <xdr:row>45</xdr:row>
      <xdr:rowOff>151938</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00025" y="8029575"/>
          <a:ext cx="2495238" cy="3695238"/>
        </a:xfrm>
        <a:prstGeom prst="rect">
          <a:avLst/>
        </a:prstGeom>
      </xdr:spPr>
    </xdr:pic>
    <xdr:clientData/>
  </xdr:twoCellAnchor>
  <xdr:twoCellAnchor>
    <xdr:from>
      <xdr:col>0</xdr:col>
      <xdr:colOff>152400</xdr:colOff>
      <xdr:row>42</xdr:row>
      <xdr:rowOff>247649</xdr:rowOff>
    </xdr:from>
    <xdr:to>
      <xdr:col>2</xdr:col>
      <xdr:colOff>47625</xdr:colOff>
      <xdr:row>44</xdr:row>
      <xdr:rowOff>111124</xdr:rowOff>
    </xdr:to>
    <xdr:sp macro="" textlink="">
      <xdr:nvSpPr>
        <xdr:cNvPr id="8" name="Oval 7">
          <a:extLst>
            <a:ext uri="{FF2B5EF4-FFF2-40B4-BE49-F238E27FC236}">
              <a16:creationId xmlns:a16="http://schemas.microsoft.com/office/drawing/2014/main" id="{00000000-0008-0000-0200-000008000000}"/>
            </a:ext>
          </a:extLst>
        </xdr:cNvPr>
        <xdr:cNvSpPr/>
      </xdr:nvSpPr>
      <xdr:spPr>
        <a:xfrm>
          <a:off x="152400" y="11048999"/>
          <a:ext cx="1114425" cy="3778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38100</xdr:colOff>
      <xdr:row>47</xdr:row>
      <xdr:rowOff>133350</xdr:rowOff>
    </xdr:from>
    <xdr:to>
      <xdr:col>9</xdr:col>
      <xdr:colOff>313605</xdr:colOff>
      <xdr:row>60</xdr:row>
      <xdr:rowOff>171027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38100" y="12220575"/>
          <a:ext cx="5761905" cy="3380952"/>
        </a:xfrm>
        <a:prstGeom prst="rect">
          <a:avLst/>
        </a:prstGeom>
      </xdr:spPr>
    </xdr:pic>
    <xdr:clientData/>
  </xdr:twoCellAnchor>
  <xdr:twoCellAnchor>
    <xdr:from>
      <xdr:col>6</xdr:col>
      <xdr:colOff>47626</xdr:colOff>
      <xdr:row>58</xdr:row>
      <xdr:rowOff>66674</xdr:rowOff>
    </xdr:from>
    <xdr:to>
      <xdr:col>7</xdr:col>
      <xdr:colOff>161926</xdr:colOff>
      <xdr:row>59</xdr:row>
      <xdr:rowOff>184149</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3705226" y="14982824"/>
          <a:ext cx="723900" cy="37465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62</xdr:row>
      <xdr:rowOff>101600</xdr:rowOff>
    </xdr:from>
    <xdr:to>
      <xdr:col>4</xdr:col>
      <xdr:colOff>323505</xdr:colOff>
      <xdr:row>69</xdr:row>
      <xdr:rowOff>199775</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5"/>
        <a:srcRect l="2759" t="5231"/>
        <a:stretch/>
      </xdr:blipFill>
      <xdr:spPr>
        <a:xfrm>
          <a:off x="76200" y="16046450"/>
          <a:ext cx="2685705" cy="1898400"/>
        </a:xfrm>
        <a:prstGeom prst="rect">
          <a:avLst/>
        </a:prstGeom>
      </xdr:spPr>
    </xdr:pic>
    <xdr:clientData/>
  </xdr:twoCellAnchor>
  <xdr:twoCellAnchor>
    <xdr:from>
      <xdr:col>3</xdr:col>
      <xdr:colOff>0</xdr:colOff>
      <xdr:row>64</xdr:row>
      <xdr:rowOff>76199</xdr:rowOff>
    </xdr:from>
    <xdr:to>
      <xdr:col>4</xdr:col>
      <xdr:colOff>228600</xdr:colOff>
      <xdr:row>65</xdr:row>
      <xdr:rowOff>146048</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828800" y="16535399"/>
          <a:ext cx="838200" cy="327024"/>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76199</xdr:colOff>
      <xdr:row>65</xdr:row>
      <xdr:rowOff>247650</xdr:rowOff>
    </xdr:from>
    <xdr:to>
      <xdr:col>1</xdr:col>
      <xdr:colOff>409574</xdr:colOff>
      <xdr:row>66</xdr:row>
      <xdr:rowOff>196850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76199" y="16964025"/>
          <a:ext cx="942975" cy="2063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130175</xdr:colOff>
      <xdr:row>1</xdr:row>
      <xdr:rowOff>76200</xdr:rowOff>
    </xdr:from>
    <xdr:to>
      <xdr:col>26</xdr:col>
      <xdr:colOff>534544</xdr:colOff>
      <xdr:row>10</xdr:row>
      <xdr:rowOff>221943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0175" y="333375"/>
          <a:ext cx="16253969" cy="2460318"/>
        </a:xfrm>
        <a:prstGeom prst="rect">
          <a:avLst/>
        </a:prstGeom>
      </xdr:spPr>
    </xdr:pic>
    <xdr:clientData/>
  </xdr:twoCellAnchor>
  <xdr:twoCellAnchor>
    <xdr:from>
      <xdr:col>10</xdr:col>
      <xdr:colOff>57150</xdr:colOff>
      <xdr:row>3</xdr:row>
      <xdr:rowOff>142875</xdr:rowOff>
    </xdr:from>
    <xdr:to>
      <xdr:col>11</xdr:col>
      <xdr:colOff>95250</xdr:colOff>
      <xdr:row>4</xdr:row>
      <xdr:rowOff>238125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6153150" y="914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234949</xdr:colOff>
      <xdr:row>5</xdr:row>
      <xdr:rowOff>0</xdr:rowOff>
    </xdr:from>
    <xdr:to>
      <xdr:col>25</xdr:col>
      <xdr:colOff>542924</xdr:colOff>
      <xdr:row>6</xdr:row>
      <xdr:rowOff>92075</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4865349" y="1285875"/>
          <a:ext cx="917575" cy="3492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101600</xdr:colOff>
      <xdr:row>12</xdr:row>
      <xdr:rowOff>28575</xdr:rowOff>
    </xdr:from>
    <xdr:to>
      <xdr:col>9</xdr:col>
      <xdr:colOff>12026</xdr:colOff>
      <xdr:row>34</xdr:row>
      <xdr:rowOff>37392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01600" y="3114675"/>
          <a:ext cx="5396826" cy="5666667"/>
        </a:xfrm>
        <a:prstGeom prst="rect">
          <a:avLst/>
        </a:prstGeom>
      </xdr:spPr>
    </xdr:pic>
    <xdr:clientData/>
  </xdr:twoCellAnchor>
  <xdr:twoCellAnchor>
    <xdr:from>
      <xdr:col>3</xdr:col>
      <xdr:colOff>561975</xdr:colOff>
      <xdr:row>13</xdr:row>
      <xdr:rowOff>238125</xdr:rowOff>
    </xdr:from>
    <xdr:to>
      <xdr:col>4</xdr:col>
      <xdr:colOff>600075</xdr:colOff>
      <xdr:row>15</xdr:row>
      <xdr:rowOff>76200</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2390775" y="3581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292100</xdr:colOff>
      <xdr:row>15</xdr:row>
      <xdr:rowOff>44450</xdr:rowOff>
    </xdr:from>
    <xdr:to>
      <xdr:col>3</xdr:col>
      <xdr:colOff>330200</xdr:colOff>
      <xdr:row>16</xdr:row>
      <xdr:rowOff>142875</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1511300" y="39020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17</xdr:row>
      <xdr:rowOff>133350</xdr:rowOff>
    </xdr:from>
    <xdr:to>
      <xdr:col>1</xdr:col>
      <xdr:colOff>342900</xdr:colOff>
      <xdr:row>18</xdr:row>
      <xdr:rowOff>142875</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304800" y="4505325"/>
          <a:ext cx="647700" cy="2667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520700</xdr:colOff>
      <xdr:row>32</xdr:row>
      <xdr:rowOff>101600</xdr:rowOff>
    </xdr:from>
    <xdr:to>
      <xdr:col>6</xdr:col>
      <xdr:colOff>571500</xdr:colOff>
      <xdr:row>34</xdr:row>
      <xdr:rowOff>0</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2959100" y="8331200"/>
          <a:ext cx="1270000" cy="4127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133350</xdr:colOff>
      <xdr:row>12</xdr:row>
      <xdr:rowOff>38100</xdr:rowOff>
    </xdr:from>
    <xdr:to>
      <xdr:col>20</xdr:col>
      <xdr:colOff>69173</xdr:colOff>
      <xdr:row>34</xdr:row>
      <xdr:rowOff>75488</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a:stretch>
          <a:fillRect/>
        </a:stretch>
      </xdr:blipFill>
      <xdr:spPr>
        <a:xfrm>
          <a:off x="6838950" y="3124200"/>
          <a:ext cx="5422223" cy="5695238"/>
        </a:xfrm>
        <a:prstGeom prst="rect">
          <a:avLst/>
        </a:prstGeom>
      </xdr:spPr>
    </xdr:pic>
    <xdr:clientData/>
  </xdr:twoCellAnchor>
  <xdr:twoCellAnchor>
    <xdr:from>
      <xdr:col>14</xdr:col>
      <xdr:colOff>558800</xdr:colOff>
      <xdr:row>13</xdr:row>
      <xdr:rowOff>254000</xdr:rowOff>
    </xdr:from>
    <xdr:to>
      <xdr:col>15</xdr:col>
      <xdr:colOff>596900</xdr:colOff>
      <xdr:row>15</xdr:row>
      <xdr:rowOff>95250</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9093200" y="35972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342900</xdr:colOff>
      <xdr:row>15</xdr:row>
      <xdr:rowOff>76200</xdr:rowOff>
    </xdr:from>
    <xdr:to>
      <xdr:col>14</xdr:col>
      <xdr:colOff>381000</xdr:colOff>
      <xdr:row>16</xdr:row>
      <xdr:rowOff>171450</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8267700" y="3933825"/>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323850</xdr:colOff>
      <xdr:row>17</xdr:row>
      <xdr:rowOff>142875</xdr:rowOff>
    </xdr:from>
    <xdr:to>
      <xdr:col>12</xdr:col>
      <xdr:colOff>361950</xdr:colOff>
      <xdr:row>18</xdr:row>
      <xdr:rowOff>149225</xdr:rowOff>
    </xdr:to>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7029450" y="4514850"/>
          <a:ext cx="647700" cy="2635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xdr:colOff>
      <xdr:row>32</xdr:row>
      <xdr:rowOff>95250</xdr:rowOff>
    </xdr:from>
    <xdr:to>
      <xdr:col>18</xdr:col>
      <xdr:colOff>57150</xdr:colOff>
      <xdr:row>33</xdr:row>
      <xdr:rowOff>247650</xdr:rowOff>
    </xdr:to>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9763125" y="8324850"/>
          <a:ext cx="1266825" cy="4095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002E5D"/>
      </a:dk2>
      <a:lt2>
        <a:srgbClr val="E7E6E6"/>
      </a:lt2>
      <a:accent1>
        <a:srgbClr val="002E5D"/>
      </a:accent1>
      <a:accent2>
        <a:srgbClr val="439775"/>
      </a:accent2>
      <a:accent3>
        <a:srgbClr val="551512"/>
      </a:accent3>
      <a:accent4>
        <a:srgbClr val="63421D"/>
      </a:accent4>
      <a:accent5>
        <a:srgbClr val="83A0A0"/>
      </a:accent5>
      <a:accent6>
        <a:srgbClr val="DBCDC6"/>
      </a:accent6>
      <a:hlink>
        <a:srgbClr val="0057B8"/>
      </a:hlink>
      <a:folHlink>
        <a:srgbClr val="9D6381"/>
      </a:folHlink>
    </a:clrScheme>
    <a:fontScheme name="Arial-Times New Roman">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F4928-D3F7-4445-BF86-F23301689133}">
  <sheetPr codeName="Sheet1"/>
  <dimension ref="B1:R53"/>
  <sheetViews>
    <sheetView tabSelected="1" zoomScaleNormal="100" workbookViewId="0">
      <selection activeCell="C9" sqref="C9"/>
    </sheetView>
  </sheetViews>
  <sheetFormatPr defaultColWidth="9.140625" defaultRowHeight="15" x14ac:dyDescent="0.25"/>
  <cols>
    <col min="1" max="16384" width="9.140625" style="1"/>
  </cols>
  <sheetData>
    <row r="1" spans="2:18" ht="15.75" thickBot="1" x14ac:dyDescent="0.3"/>
    <row r="2" spans="2:18" x14ac:dyDescent="0.25">
      <c r="B2" s="79" t="s">
        <v>23</v>
      </c>
      <c r="C2" s="80"/>
      <c r="D2" s="80"/>
      <c r="E2" s="80"/>
      <c r="F2" s="80"/>
      <c r="G2" s="80"/>
      <c r="H2" s="80"/>
      <c r="I2" s="80"/>
      <c r="J2" s="80"/>
      <c r="K2" s="81"/>
    </row>
    <row r="3" spans="2:18" ht="15.75" thickBot="1" x14ac:dyDescent="0.3">
      <c r="B3" s="82"/>
      <c r="C3" s="83"/>
      <c r="D3" s="83"/>
      <c r="E3" s="83"/>
      <c r="F3" s="83"/>
      <c r="G3" s="83"/>
      <c r="H3" s="83"/>
      <c r="I3" s="83"/>
      <c r="J3" s="83"/>
      <c r="K3" s="84"/>
    </row>
    <row r="4" spans="2:18" ht="15.75" thickTop="1" x14ac:dyDescent="0.25">
      <c r="B4" s="9" t="s">
        <v>24</v>
      </c>
      <c r="K4" s="10"/>
    </row>
    <row r="5" spans="2:18" x14ac:dyDescent="0.25">
      <c r="B5" s="9"/>
      <c r="C5" s="88" t="s">
        <v>25</v>
      </c>
      <c r="D5" s="88"/>
      <c r="E5" s="88"/>
      <c r="F5" s="88"/>
      <c r="G5" s="88"/>
      <c r="H5" s="88"/>
      <c r="I5" s="88"/>
      <c r="J5" s="88"/>
      <c r="K5" s="89"/>
      <c r="O5" s="8" t="s">
        <v>21</v>
      </c>
      <c r="P5" s="8" t="s">
        <v>22</v>
      </c>
      <c r="Q5" s="8"/>
      <c r="R5" s="8"/>
    </row>
    <row r="6" spans="2:18" x14ac:dyDescent="0.25">
      <c r="B6" s="9"/>
      <c r="C6" s="88"/>
      <c r="D6" s="88"/>
      <c r="E6" s="88"/>
      <c r="F6" s="88"/>
      <c r="G6" s="88"/>
      <c r="H6" s="88"/>
      <c r="I6" s="88"/>
      <c r="J6" s="88"/>
      <c r="K6" s="89"/>
      <c r="O6" s="8">
        <v>0</v>
      </c>
      <c r="P6" s="8">
        <v>0</v>
      </c>
      <c r="Q6" s="8">
        <v>0</v>
      </c>
      <c r="R6" s="8">
        <v>0</v>
      </c>
    </row>
    <row r="7" spans="2:18" ht="15.75" x14ac:dyDescent="0.3">
      <c r="B7" s="9"/>
      <c r="C7" s="88" t="s">
        <v>26</v>
      </c>
      <c r="D7" s="88"/>
      <c r="E7" s="88"/>
      <c r="F7" s="88"/>
      <c r="G7" s="88"/>
      <c r="H7" s="88"/>
      <c r="I7" s="88"/>
      <c r="J7" s="88"/>
      <c r="K7" s="89"/>
      <c r="O7" s="8">
        <v>0</v>
      </c>
      <c r="P7" s="8">
        <v>0.02</v>
      </c>
      <c r="Q7" s="8">
        <v>-2E-3</v>
      </c>
      <c r="R7" s="8">
        <f>$P$14/$O$14*Q7</f>
        <v>0.02</v>
      </c>
    </row>
    <row r="8" spans="2:18" ht="15" customHeight="1" x14ac:dyDescent="0.25">
      <c r="B8" s="9"/>
      <c r="C8" s="88" t="s">
        <v>27</v>
      </c>
      <c r="D8" s="88"/>
      <c r="E8" s="88"/>
      <c r="F8" s="88"/>
      <c r="G8" s="88"/>
      <c r="H8" s="88"/>
      <c r="I8" s="88"/>
      <c r="J8" s="88"/>
      <c r="K8" s="89"/>
      <c r="O8" s="8">
        <v>-2E-3</v>
      </c>
      <c r="P8" s="8">
        <v>0.02</v>
      </c>
      <c r="Q8" s="8">
        <v>-4.0000000000000001E-3</v>
      </c>
      <c r="R8" s="8">
        <f t="shared" ref="R8:R10" si="0">$P$14/$O$14*Q8</f>
        <v>0.04</v>
      </c>
    </row>
    <row r="9" spans="2:18" x14ac:dyDescent="0.25">
      <c r="B9" s="12"/>
      <c r="C9" s="6" t="s">
        <v>94</v>
      </c>
      <c r="D9" s="19"/>
      <c r="E9" s="19"/>
      <c r="F9" s="19"/>
      <c r="G9" s="19"/>
      <c r="H9" s="19"/>
      <c r="I9" s="19"/>
      <c r="J9" s="19"/>
      <c r="K9" s="20"/>
      <c r="O9" s="8">
        <v>-2E-3</v>
      </c>
      <c r="P9" s="8">
        <v>0.04</v>
      </c>
      <c r="Q9" s="8">
        <v>-6.0000000000000001E-3</v>
      </c>
      <c r="R9" s="8">
        <f t="shared" si="0"/>
        <v>0.06</v>
      </c>
    </row>
    <row r="10" spans="2:18" x14ac:dyDescent="0.25">
      <c r="B10" s="90" t="s">
        <v>28</v>
      </c>
      <c r="C10" s="91"/>
      <c r="D10" s="91"/>
      <c r="E10" s="91"/>
      <c r="F10" s="91"/>
      <c r="G10" s="91"/>
      <c r="H10" s="91"/>
      <c r="I10" s="91"/>
      <c r="J10" s="91"/>
      <c r="K10" s="92"/>
      <c r="O10" s="8">
        <v>-4.0000000000000001E-3</v>
      </c>
      <c r="P10" s="8">
        <v>0.04</v>
      </c>
      <c r="Q10" s="8">
        <v>-8.0000000000000002E-3</v>
      </c>
      <c r="R10" s="8">
        <f t="shared" si="0"/>
        <v>0.08</v>
      </c>
    </row>
    <row r="11" spans="2:18" x14ac:dyDescent="0.25">
      <c r="B11" s="11" t="s">
        <v>6</v>
      </c>
      <c r="C11" s="1" t="s">
        <v>29</v>
      </c>
      <c r="G11" s="2" t="s">
        <v>3</v>
      </c>
      <c r="H11" s="1" t="s">
        <v>39</v>
      </c>
      <c r="K11" s="10"/>
      <c r="O11" s="8">
        <v>-4.0000000000000001E-3</v>
      </c>
      <c r="P11" s="8">
        <v>0.06</v>
      </c>
      <c r="Q11" s="8"/>
      <c r="R11" s="8"/>
    </row>
    <row r="12" spans="2:18" ht="16.5" x14ac:dyDescent="0.3">
      <c r="B12" s="11" t="s">
        <v>30</v>
      </c>
      <c r="C12" s="1" t="s">
        <v>31</v>
      </c>
      <c r="G12" s="2" t="s">
        <v>2</v>
      </c>
      <c r="H12" s="1" t="s">
        <v>38</v>
      </c>
      <c r="K12" s="10"/>
      <c r="O12" s="8">
        <v>-6.0000000000000001E-3</v>
      </c>
      <c r="P12" s="8">
        <v>0.06</v>
      </c>
      <c r="Q12" s="8"/>
      <c r="R12" s="8"/>
    </row>
    <row r="13" spans="2:18" ht="16.5" x14ac:dyDescent="0.3">
      <c r="B13" s="11" t="s">
        <v>32</v>
      </c>
      <c r="C13" s="1" t="s">
        <v>33</v>
      </c>
      <c r="G13" s="2" t="s">
        <v>47</v>
      </c>
      <c r="H13" s="1" t="s">
        <v>46</v>
      </c>
      <c r="K13" s="10"/>
      <c r="O13" s="8">
        <v>-6.0000000000000001E-3</v>
      </c>
      <c r="P13" s="8">
        <v>0.08</v>
      </c>
      <c r="Q13" s="8"/>
      <c r="R13" s="8"/>
    </row>
    <row r="14" spans="2:18" x14ac:dyDescent="0.25">
      <c r="B14" s="11" t="s">
        <v>49</v>
      </c>
      <c r="C14" s="1" t="s">
        <v>50</v>
      </c>
      <c r="G14" s="2" t="s">
        <v>0</v>
      </c>
      <c r="H14" s="1" t="s">
        <v>37</v>
      </c>
      <c r="K14" s="10"/>
      <c r="O14" s="8">
        <v>-8.0000000000000002E-3</v>
      </c>
      <c r="P14" s="8">
        <v>0.08</v>
      </c>
      <c r="Q14" s="8"/>
      <c r="R14" s="8"/>
    </row>
    <row r="15" spans="2:18" ht="16.5" customHeight="1" x14ac:dyDescent="0.25">
      <c r="B15" s="11" t="s">
        <v>4</v>
      </c>
      <c r="C15" s="1" t="s">
        <v>35</v>
      </c>
      <c r="G15" s="2" t="s">
        <v>41</v>
      </c>
      <c r="H15" s="1" t="s">
        <v>44</v>
      </c>
      <c r="K15" s="10"/>
      <c r="O15" s="8">
        <v>-8.0000000000000002E-3</v>
      </c>
      <c r="P15" s="8">
        <v>0.1</v>
      </c>
      <c r="Q15" s="8"/>
      <c r="R15" s="8"/>
    </row>
    <row r="16" spans="2:18" ht="15" customHeight="1" x14ac:dyDescent="0.3">
      <c r="B16" s="11" t="s">
        <v>34</v>
      </c>
      <c r="C16" s="1" t="s">
        <v>36</v>
      </c>
      <c r="G16" s="2" t="s">
        <v>7</v>
      </c>
      <c r="H16" s="1" t="s">
        <v>43</v>
      </c>
      <c r="K16" s="10"/>
    </row>
    <row r="17" spans="2:11" ht="16.5" x14ac:dyDescent="0.3">
      <c r="B17" s="11" t="s">
        <v>15</v>
      </c>
      <c r="C17" s="1" t="s">
        <v>40</v>
      </c>
      <c r="G17" s="2" t="s">
        <v>48</v>
      </c>
      <c r="H17" s="1" t="s">
        <v>45</v>
      </c>
      <c r="K17" s="10"/>
    </row>
    <row r="18" spans="2:11" x14ac:dyDescent="0.25">
      <c r="B18" s="90" t="s">
        <v>51</v>
      </c>
      <c r="C18" s="91"/>
      <c r="D18" s="91"/>
      <c r="E18" s="91"/>
      <c r="F18" s="91"/>
      <c r="G18" s="91"/>
      <c r="H18" s="91"/>
      <c r="I18" s="91"/>
      <c r="J18" s="91"/>
      <c r="K18" s="92"/>
    </row>
    <row r="19" spans="2:11" ht="15" customHeight="1" x14ac:dyDescent="0.25">
      <c r="B19" s="99" t="s">
        <v>52</v>
      </c>
      <c r="C19" s="100"/>
      <c r="D19" s="100"/>
      <c r="E19" s="100"/>
      <c r="F19" s="100"/>
      <c r="G19" s="100"/>
      <c r="H19" s="97" t="s">
        <v>54</v>
      </c>
      <c r="I19" s="95"/>
      <c r="J19" s="95"/>
      <c r="K19" s="98"/>
    </row>
    <row r="20" spans="2:11" ht="15" customHeight="1" x14ac:dyDescent="0.25">
      <c r="B20" s="9"/>
      <c r="H20" s="3"/>
      <c r="K20" s="10"/>
    </row>
    <row r="21" spans="2:11" x14ac:dyDescent="0.25">
      <c r="B21" s="12"/>
      <c r="C21" s="6"/>
      <c r="D21" s="6"/>
      <c r="E21" s="6"/>
      <c r="F21" s="6"/>
      <c r="G21" s="6"/>
      <c r="H21" s="3"/>
      <c r="K21" s="10"/>
    </row>
    <row r="22" spans="2:11" ht="16.5" customHeight="1" x14ac:dyDescent="0.25">
      <c r="B22" s="94" t="s">
        <v>53</v>
      </c>
      <c r="C22" s="95"/>
      <c r="D22" s="95"/>
      <c r="E22" s="95"/>
      <c r="F22" s="95"/>
      <c r="G22" s="96"/>
      <c r="H22" s="3"/>
      <c r="K22" s="10"/>
    </row>
    <row r="23" spans="2:11" ht="16.5" customHeight="1" x14ac:dyDescent="0.25">
      <c r="B23" s="9"/>
      <c r="G23" s="4"/>
      <c r="H23" s="3"/>
      <c r="K23" s="10"/>
    </row>
    <row r="24" spans="2:11" ht="15" customHeight="1" x14ac:dyDescent="0.25">
      <c r="B24" s="9"/>
      <c r="G24" s="4"/>
      <c r="H24" s="3"/>
      <c r="K24" s="10"/>
    </row>
    <row r="25" spans="2:11" x14ac:dyDescent="0.25">
      <c r="B25" s="13"/>
      <c r="G25" s="4"/>
      <c r="H25" s="3"/>
      <c r="K25" s="10"/>
    </row>
    <row r="26" spans="2:11" x14ac:dyDescent="0.25">
      <c r="B26" s="14"/>
      <c r="C26" s="6"/>
      <c r="D26" s="6"/>
      <c r="E26" s="6"/>
      <c r="F26" s="6"/>
      <c r="G26" s="7"/>
      <c r="H26" s="5"/>
      <c r="I26" s="6"/>
      <c r="J26" s="6"/>
      <c r="K26" s="15"/>
    </row>
    <row r="27" spans="2:11" x14ac:dyDescent="0.25">
      <c r="B27" s="9"/>
      <c r="K27" s="10"/>
    </row>
    <row r="28" spans="2:11" x14ac:dyDescent="0.25">
      <c r="B28" s="9"/>
      <c r="K28" s="10"/>
    </row>
    <row r="29" spans="2:11" x14ac:dyDescent="0.25">
      <c r="B29" s="9"/>
      <c r="K29" s="10"/>
    </row>
    <row r="30" spans="2:11" x14ac:dyDescent="0.25">
      <c r="B30" s="9"/>
      <c r="K30" s="10"/>
    </row>
    <row r="31" spans="2:11" x14ac:dyDescent="0.25">
      <c r="B31" s="9"/>
      <c r="K31" s="10"/>
    </row>
    <row r="32" spans="2:11" x14ac:dyDescent="0.25">
      <c r="B32" s="9"/>
      <c r="K32" s="10"/>
    </row>
    <row r="33" spans="2:11" x14ac:dyDescent="0.25">
      <c r="B33" s="9"/>
      <c r="K33" s="10"/>
    </row>
    <row r="34" spans="2:11" x14ac:dyDescent="0.25">
      <c r="B34" s="9"/>
      <c r="K34" s="10"/>
    </row>
    <row r="35" spans="2:11" x14ac:dyDescent="0.25">
      <c r="B35" s="9"/>
      <c r="K35" s="10"/>
    </row>
    <row r="36" spans="2:11" x14ac:dyDescent="0.25">
      <c r="B36" s="9"/>
      <c r="K36" s="10"/>
    </row>
    <row r="37" spans="2:11" x14ac:dyDescent="0.25">
      <c r="B37" s="9"/>
      <c r="K37" s="10"/>
    </row>
    <row r="38" spans="2:11" x14ac:dyDescent="0.25">
      <c r="B38" s="9"/>
      <c r="K38" s="10"/>
    </row>
    <row r="39" spans="2:11" x14ac:dyDescent="0.25">
      <c r="B39" s="9"/>
      <c r="K39" s="10"/>
    </row>
    <row r="40" spans="2:11" x14ac:dyDescent="0.25">
      <c r="B40" s="9"/>
      <c r="K40" s="10"/>
    </row>
    <row r="41" spans="2:11" x14ac:dyDescent="0.25">
      <c r="B41" s="9"/>
      <c r="K41" s="10"/>
    </row>
    <row r="42" spans="2:11" x14ac:dyDescent="0.25">
      <c r="B42" s="9"/>
      <c r="K42" s="10"/>
    </row>
    <row r="43" spans="2:11" x14ac:dyDescent="0.25">
      <c r="B43" s="93" t="s">
        <v>42</v>
      </c>
      <c r="C43" s="77"/>
      <c r="D43" s="77"/>
      <c r="E43" s="77"/>
      <c r="F43" s="77"/>
      <c r="G43" s="77"/>
      <c r="H43" s="77"/>
      <c r="I43" s="77"/>
      <c r="J43" s="77"/>
      <c r="K43" s="78"/>
    </row>
    <row r="44" spans="2:11" ht="15" customHeight="1" x14ac:dyDescent="0.25">
      <c r="B44" s="76"/>
      <c r="C44" s="77"/>
      <c r="D44" s="77"/>
      <c r="E44" s="77"/>
      <c r="F44" s="77"/>
      <c r="G44" s="77"/>
      <c r="H44" s="77"/>
      <c r="I44" s="77"/>
      <c r="J44" s="77"/>
      <c r="K44" s="78"/>
    </row>
    <row r="45" spans="2:11" x14ac:dyDescent="0.25">
      <c r="B45" s="76"/>
      <c r="C45" s="77"/>
      <c r="D45" s="77"/>
      <c r="E45" s="77"/>
      <c r="F45" s="77"/>
      <c r="G45" s="77"/>
      <c r="H45" s="77"/>
      <c r="I45" s="77"/>
      <c r="J45" s="77"/>
      <c r="K45" s="78"/>
    </row>
    <row r="46" spans="2:11" x14ac:dyDescent="0.25">
      <c r="B46" s="85" t="s">
        <v>56</v>
      </c>
      <c r="C46" s="86"/>
      <c r="D46" s="86"/>
      <c r="E46" s="86"/>
      <c r="F46" s="86"/>
      <c r="G46" s="86"/>
      <c r="H46" s="86"/>
      <c r="I46" s="86"/>
      <c r="J46" s="86"/>
      <c r="K46" s="87"/>
    </row>
    <row r="47" spans="2:11" ht="15" customHeight="1" x14ac:dyDescent="0.25">
      <c r="B47" s="76" t="s">
        <v>55</v>
      </c>
      <c r="C47" s="77"/>
      <c r="D47" s="77"/>
      <c r="E47" s="77"/>
      <c r="F47" s="77"/>
      <c r="G47" s="77"/>
      <c r="H47" s="77"/>
      <c r="I47" s="77"/>
      <c r="J47" s="77"/>
      <c r="K47" s="78"/>
    </row>
    <row r="48" spans="2:11" x14ac:dyDescent="0.25">
      <c r="B48" s="76"/>
      <c r="C48" s="77"/>
      <c r="D48" s="77"/>
      <c r="E48" s="77"/>
      <c r="F48" s="77"/>
      <c r="G48" s="77"/>
      <c r="H48" s="77"/>
      <c r="I48" s="77"/>
      <c r="J48" s="77"/>
      <c r="K48" s="78"/>
    </row>
    <row r="49" spans="2:11" x14ac:dyDescent="0.25">
      <c r="B49" s="76"/>
      <c r="C49" s="77"/>
      <c r="D49" s="77"/>
      <c r="E49" s="77"/>
      <c r="F49" s="77"/>
      <c r="G49" s="77"/>
      <c r="H49" s="77"/>
      <c r="I49" s="77"/>
      <c r="J49" s="77"/>
      <c r="K49" s="78"/>
    </row>
    <row r="50" spans="2:11" x14ac:dyDescent="0.25">
      <c r="B50" s="76"/>
      <c r="C50" s="77"/>
      <c r="D50" s="77"/>
      <c r="E50" s="77"/>
      <c r="F50" s="77"/>
      <c r="G50" s="77"/>
      <c r="H50" s="77"/>
      <c r="I50" s="77"/>
      <c r="J50" s="77"/>
      <c r="K50" s="78"/>
    </row>
    <row r="51" spans="2:11" x14ac:dyDescent="0.25">
      <c r="B51" s="76"/>
      <c r="C51" s="77"/>
      <c r="D51" s="77"/>
      <c r="E51" s="77"/>
      <c r="F51" s="77"/>
      <c r="G51" s="77"/>
      <c r="H51" s="77"/>
      <c r="I51" s="77"/>
      <c r="J51" s="77"/>
      <c r="K51" s="78"/>
    </row>
    <row r="52" spans="2:11" x14ac:dyDescent="0.25">
      <c r="B52" s="76"/>
      <c r="C52" s="77"/>
      <c r="D52" s="77"/>
      <c r="E52" s="77"/>
      <c r="F52" s="77"/>
      <c r="G52" s="77"/>
      <c r="H52" s="77"/>
      <c r="I52" s="77"/>
      <c r="J52" s="77"/>
      <c r="K52" s="78"/>
    </row>
    <row r="53" spans="2:11" ht="15.75" thickBot="1" x14ac:dyDescent="0.3">
      <c r="B53" s="16"/>
      <c r="C53" s="17"/>
      <c r="D53" s="17"/>
      <c r="E53" s="17"/>
      <c r="F53" s="17"/>
      <c r="G53" s="17"/>
      <c r="H53" s="17"/>
      <c r="I53" s="17"/>
      <c r="J53" s="17"/>
      <c r="K53" s="18"/>
    </row>
  </sheetData>
  <sortState xmlns:xlrd2="http://schemas.microsoft.com/office/spreadsheetml/2017/richdata2" ref="B12:C24">
    <sortCondition ref="B12:B24"/>
  </sortState>
  <mergeCells count="12">
    <mergeCell ref="B47:K52"/>
    <mergeCell ref="B2:K3"/>
    <mergeCell ref="B46:K46"/>
    <mergeCell ref="C5:K6"/>
    <mergeCell ref="C7:K7"/>
    <mergeCell ref="C8:K8"/>
    <mergeCell ref="B10:K10"/>
    <mergeCell ref="B43:K45"/>
    <mergeCell ref="B18:K18"/>
    <mergeCell ref="B22:G22"/>
    <mergeCell ref="H19:K19"/>
    <mergeCell ref="B19:G19"/>
  </mergeCells>
  <pageMargins left="0.7" right="0.7" top="0.75" bottom="0.75" header="0.3" footer="0.3"/>
  <pageSetup scale="84" orientation="portrait" verticalDpi="0" r:id="rId1"/>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D0323-AD3E-4445-A7D5-53D1A4FFF8E2}">
  <sheetPr codeName="Sheet2"/>
  <dimension ref="B1:S49"/>
  <sheetViews>
    <sheetView workbookViewId="0">
      <selection activeCell="O24" sqref="O24"/>
    </sheetView>
  </sheetViews>
  <sheetFormatPr defaultColWidth="8.7109375" defaultRowHeight="15" x14ac:dyDescent="0.25"/>
  <cols>
    <col min="1" max="1" width="3.28515625" style="1" customWidth="1"/>
    <col min="2" max="2" width="13.42578125" style="1" bestFit="1" customWidth="1"/>
    <col min="3" max="3" width="8" style="1" bestFit="1" customWidth="1"/>
    <col min="4" max="4" width="8.7109375" style="1"/>
    <col min="5" max="5" width="9.5703125" style="1" bestFit="1" customWidth="1"/>
    <col min="6" max="6" width="13.42578125" style="1" bestFit="1" customWidth="1"/>
    <col min="7" max="7" width="17" style="1" bestFit="1" customWidth="1"/>
    <col min="8" max="8" width="8.28515625" style="1" bestFit="1" customWidth="1"/>
    <col min="9" max="9" width="13.42578125" style="1" bestFit="1" customWidth="1"/>
    <col min="10" max="10" width="10.140625" style="1" bestFit="1" customWidth="1"/>
    <col min="11" max="11" width="10.7109375" style="1" customWidth="1"/>
    <col min="12" max="12" width="12.42578125" style="1" customWidth="1"/>
    <col min="13" max="13" width="10.5703125" style="1" customWidth="1"/>
    <col min="14" max="15" width="12" style="1" customWidth="1"/>
    <col min="16" max="16" width="8.7109375" style="1"/>
    <col min="17" max="17" width="12.7109375" style="1" bestFit="1" customWidth="1"/>
    <col min="18" max="18" width="12" style="1" customWidth="1"/>
    <col min="19" max="16384" width="8.7109375" style="1"/>
  </cols>
  <sheetData>
    <row r="1" spans="2:19" ht="12.75" customHeight="1" thickBot="1" x14ac:dyDescent="0.3"/>
    <row r="2" spans="2:19" ht="19.5" customHeight="1" thickBot="1" x14ac:dyDescent="0.3">
      <c r="B2" s="107" t="s">
        <v>59</v>
      </c>
      <c r="C2" s="108"/>
      <c r="D2" s="108"/>
      <c r="E2" s="108"/>
      <c r="F2" s="108"/>
      <c r="G2" s="108"/>
      <c r="H2" s="108"/>
      <c r="I2" s="108"/>
      <c r="J2" s="108"/>
      <c r="K2" s="108"/>
      <c r="L2" s="108"/>
      <c r="M2" s="109"/>
      <c r="N2" s="21"/>
      <c r="O2" s="21"/>
      <c r="P2" s="21"/>
      <c r="Q2" s="21"/>
      <c r="R2" s="21"/>
      <c r="S2" s="21"/>
    </row>
    <row r="3" spans="2:19" ht="22.5" customHeight="1" thickTop="1" x14ac:dyDescent="0.25">
      <c r="B3" s="110" t="s">
        <v>86</v>
      </c>
      <c r="C3" s="111"/>
      <c r="D3" s="111"/>
      <c r="E3" s="111"/>
      <c r="F3" s="111"/>
      <c r="G3" s="111"/>
      <c r="H3" s="111"/>
      <c r="I3" s="111"/>
      <c r="J3" s="111"/>
      <c r="K3" s="111"/>
      <c r="L3" s="111"/>
      <c r="M3" s="112"/>
      <c r="N3" s="21"/>
      <c r="O3" s="21"/>
      <c r="P3" s="21"/>
      <c r="Q3" s="21"/>
      <c r="R3" s="21"/>
      <c r="S3" s="21"/>
    </row>
    <row r="4" spans="2:19" ht="15" customHeight="1" x14ac:dyDescent="0.3">
      <c r="B4" s="113" t="s">
        <v>87</v>
      </c>
      <c r="C4" s="114"/>
      <c r="D4" s="114"/>
      <c r="E4" s="114"/>
      <c r="F4" s="114"/>
      <c r="G4" s="114"/>
      <c r="H4" s="114"/>
      <c r="I4" s="114"/>
      <c r="J4" s="114"/>
      <c r="K4" s="114"/>
      <c r="L4" s="114"/>
      <c r="M4" s="115"/>
      <c r="N4" s="22"/>
      <c r="O4" s="22"/>
      <c r="P4" s="22"/>
      <c r="Q4" s="22"/>
      <c r="R4" s="22"/>
      <c r="S4" s="22"/>
    </row>
    <row r="5" spans="2:19" ht="15" customHeight="1" x14ac:dyDescent="0.3">
      <c r="B5" s="110" t="s">
        <v>88</v>
      </c>
      <c r="C5" s="111"/>
      <c r="D5" s="111"/>
      <c r="E5" s="111"/>
      <c r="F5" s="111"/>
      <c r="G5" s="111"/>
      <c r="H5" s="111"/>
      <c r="I5" s="111"/>
      <c r="J5" s="111"/>
      <c r="K5" s="111"/>
      <c r="L5" s="111"/>
      <c r="M5" s="112"/>
      <c r="N5" s="22"/>
      <c r="O5" s="22"/>
      <c r="P5" s="22"/>
      <c r="Q5" s="22"/>
      <c r="R5" s="22"/>
      <c r="S5" s="22"/>
    </row>
    <row r="6" spans="2:19" ht="30" customHeight="1" x14ac:dyDescent="0.25">
      <c r="B6" s="119" t="s">
        <v>85</v>
      </c>
      <c r="C6" s="120"/>
      <c r="D6" s="120"/>
      <c r="E6" s="120"/>
      <c r="F6" s="120"/>
      <c r="G6" s="66"/>
      <c r="H6" s="66"/>
      <c r="I6" s="66"/>
      <c r="J6" s="121" t="s">
        <v>89</v>
      </c>
      <c r="K6" s="121"/>
      <c r="L6" s="121"/>
      <c r="M6" s="122"/>
      <c r="N6" s="22"/>
      <c r="O6" s="22"/>
      <c r="P6" s="22"/>
      <c r="Q6" s="22"/>
      <c r="R6" s="22"/>
      <c r="S6" s="22"/>
    </row>
    <row r="7" spans="2:19" ht="19.5" thickBot="1" x14ac:dyDescent="0.35">
      <c r="B7" s="116" t="s">
        <v>8</v>
      </c>
      <c r="C7" s="117"/>
      <c r="D7" s="117"/>
      <c r="E7" s="117"/>
      <c r="F7" s="117"/>
      <c r="G7" s="117"/>
      <c r="H7" s="117"/>
      <c r="I7" s="117"/>
      <c r="J7" s="117"/>
      <c r="K7" s="117"/>
      <c r="L7" s="117"/>
      <c r="M7" s="118"/>
    </row>
    <row r="8" spans="2:19" ht="19.5" thickTop="1" x14ac:dyDescent="0.3">
      <c r="B8" s="23"/>
      <c r="C8" s="24"/>
      <c r="D8" s="24"/>
      <c r="E8" s="24"/>
      <c r="F8" s="24"/>
      <c r="G8" s="24"/>
      <c r="H8" s="24"/>
      <c r="I8" s="24"/>
      <c r="J8" s="24"/>
      <c r="K8" s="24"/>
      <c r="L8" s="24"/>
      <c r="M8" s="25"/>
    </row>
    <row r="9" spans="2:19" ht="18" x14ac:dyDescent="0.25">
      <c r="B9" s="48" t="s">
        <v>6</v>
      </c>
      <c r="C9" s="55">
        <v>0.59299999999999997</v>
      </c>
      <c r="D9" s="26" t="s">
        <v>12</v>
      </c>
      <c r="E9" s="49" t="s">
        <v>64</v>
      </c>
      <c r="F9" s="57">
        <v>2.3600000000000001E-5</v>
      </c>
      <c r="G9" s="28" t="s">
        <v>10</v>
      </c>
      <c r="H9" s="51" t="s">
        <v>49</v>
      </c>
      <c r="I9" s="59">
        <v>1.5</v>
      </c>
      <c r="K9" s="50" t="s">
        <v>4</v>
      </c>
      <c r="L9" s="55">
        <v>96485</v>
      </c>
      <c r="M9" s="29" t="s">
        <v>5</v>
      </c>
    </row>
    <row r="10" spans="2:19" ht="18.75" x14ac:dyDescent="0.3">
      <c r="B10" s="48" t="s">
        <v>15</v>
      </c>
      <c r="C10" s="55">
        <v>238.02889999999999</v>
      </c>
      <c r="D10" s="26" t="s">
        <v>17</v>
      </c>
      <c r="E10" s="50" t="s">
        <v>3</v>
      </c>
      <c r="F10" s="55">
        <v>3</v>
      </c>
      <c r="G10" s="26"/>
      <c r="H10" s="49" t="s">
        <v>2</v>
      </c>
      <c r="I10" s="58">
        <v>8.3140000000000001</v>
      </c>
      <c r="J10" s="28" t="s">
        <v>11</v>
      </c>
      <c r="K10" s="50" t="s">
        <v>63</v>
      </c>
      <c r="L10" s="55">
        <v>175</v>
      </c>
      <c r="M10" s="29" t="s">
        <v>18</v>
      </c>
    </row>
    <row r="11" spans="2:19" ht="19.5" x14ac:dyDescent="0.35">
      <c r="B11" s="68" t="s">
        <v>0</v>
      </c>
      <c r="C11" s="58">
        <v>773</v>
      </c>
      <c r="D11" s="28" t="s">
        <v>1</v>
      </c>
      <c r="E11" s="52" t="s">
        <v>65</v>
      </c>
      <c r="F11" s="55">
        <v>2.2399999999999998E-3</v>
      </c>
      <c r="G11" s="26" t="s">
        <v>9</v>
      </c>
      <c r="H11" s="53" t="s">
        <v>66</v>
      </c>
      <c r="I11" s="55">
        <v>18.899999999999999</v>
      </c>
      <c r="J11" s="26" t="s">
        <v>16</v>
      </c>
      <c r="M11" s="10"/>
    </row>
    <row r="12" spans="2:19" x14ac:dyDescent="0.25">
      <c r="B12" s="9"/>
      <c r="M12" s="10"/>
    </row>
    <row r="13" spans="2:19" ht="19.5" thickBot="1" x14ac:dyDescent="0.35">
      <c r="B13" s="116" t="s">
        <v>58</v>
      </c>
      <c r="C13" s="117"/>
      <c r="D13" s="117"/>
      <c r="E13" s="117"/>
      <c r="F13" s="117"/>
      <c r="G13" s="117"/>
      <c r="H13" s="117"/>
      <c r="I13" s="117"/>
      <c r="J13" s="117"/>
      <c r="K13" s="117"/>
      <c r="L13" s="117"/>
      <c r="M13" s="118"/>
      <c r="N13" s="30"/>
      <c r="O13" s="30"/>
      <c r="P13" s="30"/>
      <c r="Q13" s="30"/>
    </row>
    <row r="14" spans="2:19" ht="19.5" thickTop="1" x14ac:dyDescent="0.3">
      <c r="B14" s="9"/>
      <c r="D14" s="50" t="s">
        <v>67</v>
      </c>
      <c r="E14" s="42">
        <f>e_*ρD/MW*2*rA*10^-10</f>
        <v>4.1686114585245745E-9</v>
      </c>
      <c r="F14" s="26" t="s">
        <v>19</v>
      </c>
      <c r="G14" s="52" t="s">
        <v>68</v>
      </c>
      <c r="H14" s="36">
        <f>n*F*ABS(ΔE)/R_/T</f>
        <v>0.10088801102646107</v>
      </c>
      <c r="I14" s="53" t="s">
        <v>14</v>
      </c>
      <c r="J14" s="38">
        <f>COx/Γ*SQRT(DOx*R_*T/n/F/ν)</f>
        <v>9.7526857260327215</v>
      </c>
      <c r="K14" s="24"/>
      <c r="L14" s="24"/>
      <c r="M14" s="25"/>
      <c r="N14" s="30"/>
      <c r="O14" s="30"/>
      <c r="P14" s="30"/>
      <c r="Q14" s="30"/>
    </row>
    <row r="15" spans="2:19" ht="18.75" x14ac:dyDescent="0.3">
      <c r="B15" s="23"/>
      <c r="C15" s="24"/>
      <c r="D15" s="24"/>
      <c r="E15" s="24"/>
      <c r="F15" s="24"/>
      <c r="G15" s="24"/>
      <c r="H15" s="24"/>
      <c r="I15" s="24"/>
      <c r="J15" s="24"/>
      <c r="K15" s="24"/>
      <c r="L15" s="24"/>
      <c r="M15" s="25"/>
      <c r="N15" s="30"/>
      <c r="O15" s="30"/>
      <c r="P15" s="30"/>
      <c r="Q15" s="30"/>
    </row>
    <row r="16" spans="2:19" x14ac:dyDescent="0.25">
      <c r="B16" s="123" t="s">
        <v>57</v>
      </c>
      <c r="C16" s="124"/>
      <c r="D16" s="124"/>
      <c r="E16" s="124"/>
      <c r="F16" s="124"/>
      <c r="G16" s="124"/>
      <c r="H16" s="124"/>
      <c r="I16" s="124"/>
      <c r="J16" s="124"/>
      <c r="K16" s="124"/>
      <c r="L16" s="124"/>
      <c r="M16" s="125"/>
      <c r="N16" s="31"/>
      <c r="O16" s="31"/>
      <c r="P16" s="31"/>
      <c r="Q16" s="31"/>
    </row>
    <row r="17" spans="2:19" x14ac:dyDescent="0.25">
      <c r="B17" s="32"/>
      <c r="C17" s="33"/>
      <c r="D17" s="33"/>
      <c r="E17" s="33"/>
      <c r="F17" s="33"/>
      <c r="G17" s="33"/>
      <c r="H17" s="33"/>
      <c r="I17" s="33"/>
      <c r="J17" s="33"/>
      <c r="K17" s="33"/>
      <c r="L17" s="33"/>
      <c r="M17" s="34"/>
      <c r="N17" s="31"/>
      <c r="O17" s="31"/>
      <c r="P17" s="31"/>
      <c r="Q17" s="31"/>
    </row>
    <row r="18" spans="2:19" ht="18.75" x14ac:dyDescent="0.3">
      <c r="B18" s="48" t="s">
        <v>7</v>
      </c>
      <c r="C18" s="55">
        <v>0.1</v>
      </c>
      <c r="D18" s="26" t="s">
        <v>13</v>
      </c>
      <c r="E18" s="127" t="s">
        <v>62</v>
      </c>
      <c r="F18" s="127"/>
      <c r="G18" s="56">
        <v>-5.6416666999999997E-2</v>
      </c>
      <c r="H18" s="26" t="s">
        <v>6</v>
      </c>
      <c r="I18" s="50" t="s">
        <v>69</v>
      </c>
      <c r="J18" s="26">
        <f>-0.611/((1+0.588*SQRT(Δεs))*(1+0.16/χ))*(n*F*A*COx)/SQRT(R_*T/(n*F*ν*DOx))</f>
        <v>-1.5920329697143184E-2</v>
      </c>
      <c r="K18" s="26" t="s">
        <v>6</v>
      </c>
      <c r="M18" s="10"/>
    </row>
    <row r="19" spans="2:19" ht="18" x14ac:dyDescent="0.3">
      <c r="B19" s="13"/>
      <c r="C19" s="26"/>
      <c r="D19" s="37"/>
      <c r="E19" s="26"/>
      <c r="F19" s="26"/>
      <c r="G19" s="128" t="s">
        <v>70</v>
      </c>
      <c r="H19" s="128"/>
      <c r="I19" s="128"/>
      <c r="J19" s="27">
        <f>(Ip-Ip_calc)^2</f>
        <v>1.6399533349467524E-3</v>
      </c>
      <c r="K19" s="1" t="s">
        <v>6</v>
      </c>
      <c r="M19" s="10"/>
    </row>
    <row r="20" spans="2:19" x14ac:dyDescent="0.25">
      <c r="B20" s="13"/>
      <c r="C20" s="26"/>
      <c r="D20" s="37"/>
      <c r="E20" s="26"/>
      <c r="F20" s="26"/>
      <c r="G20" s="26"/>
      <c r="H20" s="26"/>
      <c r="I20" s="62"/>
      <c r="J20" s="62"/>
      <c r="K20" s="62"/>
      <c r="L20" s="27"/>
      <c r="M20" s="10"/>
    </row>
    <row r="21" spans="2:19" ht="19.5" x14ac:dyDescent="0.35">
      <c r="B21" s="123" t="s">
        <v>20</v>
      </c>
      <c r="C21" s="124"/>
      <c r="D21" s="124"/>
      <c r="E21" s="124"/>
      <c r="F21" s="124"/>
      <c r="G21" s="124"/>
      <c r="H21" s="124"/>
      <c r="I21" s="124"/>
      <c r="J21" s="124"/>
      <c r="K21" s="124"/>
      <c r="L21" s="124"/>
      <c r="M21" s="125"/>
      <c r="N21" s="39"/>
      <c r="O21" s="39"/>
      <c r="P21" s="39"/>
      <c r="Q21" s="39"/>
      <c r="R21" s="39"/>
      <c r="S21" s="39"/>
    </row>
    <row r="22" spans="2:19" ht="19.5" x14ac:dyDescent="0.35">
      <c r="B22" s="32"/>
      <c r="C22" s="33"/>
      <c r="D22" s="33"/>
      <c r="E22" s="33"/>
      <c r="F22" s="33"/>
      <c r="G22" s="33"/>
      <c r="H22" s="33"/>
      <c r="I22" s="33"/>
      <c r="J22" s="33"/>
      <c r="K22" s="33"/>
      <c r="L22" s="33"/>
      <c r="M22" s="34"/>
      <c r="N22" s="39"/>
      <c r="O22" s="39"/>
      <c r="P22" s="39"/>
      <c r="Q22" s="39"/>
      <c r="R22" s="39"/>
      <c r="S22" s="39"/>
    </row>
    <row r="23" spans="2:19" ht="18" x14ac:dyDescent="0.3">
      <c r="B23" s="9"/>
      <c r="C23" s="54" t="s">
        <v>71</v>
      </c>
      <c r="D23" s="126" t="s">
        <v>72</v>
      </c>
      <c r="E23" s="126"/>
      <c r="F23" s="67" t="s">
        <v>14</v>
      </c>
      <c r="G23" s="54" t="s">
        <v>73</v>
      </c>
      <c r="H23" s="126" t="s">
        <v>74</v>
      </c>
      <c r="I23" s="126"/>
      <c r="J23" s="126"/>
      <c r="K23" s="35"/>
      <c r="L23" s="26"/>
      <c r="M23" s="41"/>
      <c r="N23" s="26"/>
      <c r="O23" s="35"/>
      <c r="P23" s="35"/>
      <c r="Q23" s="40"/>
      <c r="R23" s="40"/>
    </row>
    <row r="24" spans="2:19" x14ac:dyDescent="0.25">
      <c r="B24" s="9"/>
      <c r="C24" s="65">
        <v>0.05</v>
      </c>
      <c r="D24" s="59">
        <v>-1.1532000000000001E-2</v>
      </c>
      <c r="E24" s="69"/>
      <c r="F24" s="63">
        <f t="shared" ref="F24:F33" si="0">COx/Γ*SQRT(DOx*R_*T/n/F/C24)</f>
        <v>13.792380423317971</v>
      </c>
      <c r="G24" s="43">
        <f>-0.611/((1+0.588*SQRT(Δεs))*(1+0.16/F24))*(n*F*A*COx)/SQRT(R_*T/(n*F*C24*DOx))</f>
        <v>-1.1310845902600257E-2</v>
      </c>
      <c r="I24" s="42">
        <f>((D24-G24)/(n*F*A*COx)*SQRT(R_*T/(n*F*C24*DOx)))^2</f>
        <v>9.9022548325205893E-5</v>
      </c>
      <c r="J24" s="42"/>
      <c r="L24" s="36"/>
      <c r="M24" s="44"/>
      <c r="N24" s="75"/>
      <c r="Q24" s="26"/>
      <c r="R24" s="26"/>
    </row>
    <row r="25" spans="2:19" x14ac:dyDescent="0.25">
      <c r="B25" s="9"/>
      <c r="C25" s="65">
        <v>0.1</v>
      </c>
      <c r="D25" s="59">
        <v>-1.5852999999999999E-2</v>
      </c>
      <c r="E25" s="69"/>
      <c r="F25" s="63">
        <f t="shared" si="0"/>
        <v>9.7526857260327215</v>
      </c>
      <c r="G25" s="43">
        <f>-0.611/((1+0.588*SQRT(Δεs))*(1+0.16/χ))*(n*F*A*COx)/SQRT(R_*T/(n*F*C25*DOx))</f>
        <v>-1.5920329697143184E-2</v>
      </c>
      <c r="I25" s="42">
        <f>((D25-G25)/(n*F*A*COx)*SQRT(R_*T/(n*F*C25*DOx)))^2</f>
        <v>4.5890991891657755E-6</v>
      </c>
      <c r="J25" s="42"/>
      <c r="L25" s="36"/>
      <c r="M25" s="44"/>
      <c r="N25" s="75"/>
      <c r="Q25" s="28"/>
      <c r="R25" s="45"/>
    </row>
    <row r="26" spans="2:19" x14ac:dyDescent="0.25">
      <c r="B26" s="9"/>
      <c r="C26" s="65">
        <v>0.15</v>
      </c>
      <c r="D26" s="59">
        <v>-1.9185000000000001E-2</v>
      </c>
      <c r="E26" s="69"/>
      <c r="F26" s="63">
        <f t="shared" si="0"/>
        <v>7.9630345501683557</v>
      </c>
      <c r="G26" s="43">
        <f>-0.611/((1+0.588*SQRT(Δεs))*(1+0.16/χ))*(n*F*A*COx)/SQRT(R_*T/(n*F*C26*DOx))</f>
        <v>-1.9498342147439323E-2</v>
      </c>
      <c r="I26" s="42">
        <f>((D26-G26)/(n*F*A*COx)*SQRT(R_*T/(n*F*C26*DOx)))^2</f>
        <v>6.6261382761109532E-5</v>
      </c>
      <c r="J26" s="42"/>
      <c r="L26" s="36"/>
      <c r="M26" s="44"/>
      <c r="N26" s="75"/>
      <c r="Q26" s="40"/>
      <c r="R26" s="106"/>
      <c r="S26" s="106"/>
    </row>
    <row r="27" spans="2:19" x14ac:dyDescent="0.25">
      <c r="B27" s="9"/>
      <c r="C27" s="65">
        <v>0.2</v>
      </c>
      <c r="D27" s="59">
        <v>-2.1604000000000002E-2</v>
      </c>
      <c r="E27" s="69"/>
      <c r="F27" s="63">
        <f t="shared" si="0"/>
        <v>6.8961902116589853</v>
      </c>
      <c r="G27" s="43">
        <f>-0.611/((1+0.588*SQRT(Δεs))*(1+0.16/χ))*(n*F*A*COx)/SQRT(R_*T/(n*F*C27*DOx))</f>
        <v>-2.2514746175151038E-2</v>
      </c>
      <c r="I27" s="42">
        <f>((D27-G27)/(n*F*A*COx)*SQRT(R_*T/(n*F*C27*DOx)))^2</f>
        <v>4.198351913361736E-4</v>
      </c>
      <c r="J27" s="42"/>
      <c r="L27" s="36"/>
      <c r="M27" s="44"/>
      <c r="N27" s="75"/>
      <c r="Q27" s="46"/>
      <c r="R27" s="106"/>
      <c r="S27" s="106"/>
    </row>
    <row r="28" spans="2:19" x14ac:dyDescent="0.25">
      <c r="B28" s="9"/>
      <c r="C28" s="70">
        <v>0.25</v>
      </c>
      <c r="D28" s="70">
        <v>-2.3293999999999999E-2</v>
      </c>
      <c r="E28" s="40"/>
      <c r="F28" s="63">
        <f t="shared" si="0"/>
        <v>6.1681400396152615</v>
      </c>
      <c r="G28" s="43">
        <f>-0.611/((1+0.588*SQRT(Δεs))*(1+0.16/χ))*(n*F*A*COx)/SQRT(R_*T/(n*F*C28*DOx))</f>
        <v>-2.5172251471895557E-2</v>
      </c>
      <c r="I28" s="42">
        <f>((D28-G28)/(n*F*A*COx)*SQRT(R_*T/(n*F*C28*DOx)))^2</f>
        <v>1.4285044241922017E-3</v>
      </c>
      <c r="J28" s="42"/>
      <c r="L28" s="36"/>
      <c r="M28" s="44"/>
      <c r="N28" s="75"/>
      <c r="Q28" s="47"/>
      <c r="R28" s="106"/>
      <c r="S28" s="106"/>
    </row>
    <row r="29" spans="2:19" x14ac:dyDescent="0.25">
      <c r="B29" s="9"/>
      <c r="C29" s="71"/>
      <c r="D29" s="71"/>
      <c r="E29" s="64"/>
      <c r="F29" s="63" t="e">
        <f t="shared" si="0"/>
        <v>#DIV/0!</v>
      </c>
      <c r="G29" s="43" t="e">
        <f>-0.611/((1+0.588*SQRT(Δεs))*(1+0.16/F29))*(n*F*A*COx)/SQRT(R_*T/(n*F*C29*DOx))</f>
        <v>#DIV/0!</v>
      </c>
      <c r="H29" s="101" t="e">
        <f t="shared" ref="H29:H33" si="1">(D29-G29)^2</f>
        <v>#DIV/0!</v>
      </c>
      <c r="I29" s="101"/>
      <c r="J29" s="101"/>
      <c r="K29" s="26"/>
      <c r="L29" s="26"/>
      <c r="M29" s="29"/>
      <c r="N29" s="75"/>
    </row>
    <row r="30" spans="2:19" x14ac:dyDescent="0.25">
      <c r="B30" s="9"/>
      <c r="C30" s="70"/>
      <c r="D30" s="70"/>
      <c r="E30" s="40"/>
      <c r="F30" s="63" t="e">
        <f t="shared" si="0"/>
        <v>#DIV/0!</v>
      </c>
      <c r="G30" s="43" t="e">
        <f>-0.611/((1+0.588*SQRT(Δεs))*(1+0.16/F30))*(n*F*A*COx)/SQRT(R_*T/(n*F*C30*DOx))</f>
        <v>#DIV/0!</v>
      </c>
      <c r="H30" s="101" t="e">
        <f t="shared" si="1"/>
        <v>#DIV/0!</v>
      </c>
      <c r="I30" s="101"/>
      <c r="J30" s="101"/>
      <c r="M30" s="10"/>
      <c r="N30" s="75"/>
    </row>
    <row r="31" spans="2:19" x14ac:dyDescent="0.25">
      <c r="B31" s="9"/>
      <c r="C31" s="70"/>
      <c r="D31" s="70"/>
      <c r="E31" s="40"/>
      <c r="F31" s="63" t="e">
        <f t="shared" si="0"/>
        <v>#DIV/0!</v>
      </c>
      <c r="G31" s="43" t="e">
        <f>-0.611/((1+0.588*SQRT(Δεs))*(1+0.16/F31))*(n*F*A*COx)/SQRT(R_*T/(n*F*C31*DOx))</f>
        <v>#DIV/0!</v>
      </c>
      <c r="H31" s="101" t="e">
        <f t="shared" si="1"/>
        <v>#DIV/0!</v>
      </c>
      <c r="I31" s="101"/>
      <c r="J31" s="101"/>
      <c r="M31" s="10"/>
      <c r="N31" s="75"/>
    </row>
    <row r="32" spans="2:19" x14ac:dyDescent="0.25">
      <c r="B32" s="9"/>
      <c r="C32" s="70"/>
      <c r="D32" s="70"/>
      <c r="E32" s="40"/>
      <c r="F32" s="63" t="e">
        <f t="shared" si="0"/>
        <v>#DIV/0!</v>
      </c>
      <c r="G32" s="43" t="e">
        <f>-0.611/((1+0.588*SQRT(Δεs))*(1+0.16/F32))*(n*F*A*COx)/SQRT(R_*T/(n*F*C32*DOx))</f>
        <v>#DIV/0!</v>
      </c>
      <c r="H32" s="101" t="e">
        <f t="shared" si="1"/>
        <v>#DIV/0!</v>
      </c>
      <c r="I32" s="101"/>
      <c r="J32" s="101"/>
      <c r="L32" s="1" t="s">
        <v>90</v>
      </c>
      <c r="M32" s="10"/>
      <c r="N32" s="75"/>
    </row>
    <row r="33" spans="2:18" x14ac:dyDescent="0.25">
      <c r="B33" s="9"/>
      <c r="C33" s="70"/>
      <c r="D33" s="70"/>
      <c r="E33" s="40"/>
      <c r="F33" s="63" t="e">
        <f t="shared" si="0"/>
        <v>#DIV/0!</v>
      </c>
      <c r="G33" s="43" t="e">
        <f>-0.611/((1+0.588*SQRT(Δεs))*(1+0.16/F33))*(n*F*A*COx)/SQRT(R_*T/(n*F*C33*DOx))</f>
        <v>#DIV/0!</v>
      </c>
      <c r="H33" s="101" t="e">
        <f t="shared" si="1"/>
        <v>#DIV/0!</v>
      </c>
      <c r="I33" s="101"/>
      <c r="J33" s="101"/>
      <c r="L33" s="45">
        <f>SUM(I24:I26)</f>
        <v>1.698730302754812E-4</v>
      </c>
      <c r="M33" s="10"/>
      <c r="N33" s="75"/>
    </row>
    <row r="34" spans="2:18" x14ac:dyDescent="0.25">
      <c r="B34" s="9"/>
      <c r="M34" s="10"/>
    </row>
    <row r="35" spans="2:18" ht="19.5" thickBot="1" x14ac:dyDescent="0.35">
      <c r="B35" s="102" t="s">
        <v>81</v>
      </c>
      <c r="C35" s="103"/>
      <c r="D35" s="103"/>
      <c r="E35" s="103"/>
      <c r="F35" s="103"/>
      <c r="G35" s="103"/>
      <c r="H35" s="103"/>
      <c r="I35" s="103"/>
      <c r="J35" s="103"/>
      <c r="K35" s="103"/>
      <c r="L35" s="103"/>
      <c r="M35" s="104"/>
    </row>
    <row r="36" spans="2:18" ht="15.75" thickTop="1" x14ac:dyDescent="0.25">
      <c r="B36" s="9"/>
      <c r="M36" s="10"/>
    </row>
    <row r="37" spans="2:18" ht="23.25" x14ac:dyDescent="0.35">
      <c r="B37" s="9"/>
      <c r="F37" s="60" t="s">
        <v>60</v>
      </c>
      <c r="G37" s="72">
        <v>1.3365919187205442E-5</v>
      </c>
      <c r="H37" s="61" t="s">
        <v>61</v>
      </c>
      <c r="M37" s="10"/>
    </row>
    <row r="38" spans="2:18" ht="15.75" thickBot="1" x14ac:dyDescent="0.3">
      <c r="B38" s="16"/>
      <c r="C38" s="17"/>
      <c r="D38" s="17"/>
      <c r="E38" s="17"/>
      <c r="F38" s="17"/>
      <c r="G38" s="17"/>
      <c r="H38" s="17"/>
      <c r="I38" s="17"/>
      <c r="J38" s="17"/>
      <c r="K38" s="17"/>
      <c r="L38" s="17"/>
      <c r="M38" s="18"/>
    </row>
    <row r="40" spans="2:18" x14ac:dyDescent="0.25">
      <c r="B40" s="1" t="s">
        <v>82</v>
      </c>
    </row>
    <row r="41" spans="2:18" ht="16.5" x14ac:dyDescent="0.3">
      <c r="B41" s="1" t="s">
        <v>92</v>
      </c>
    </row>
    <row r="42" spans="2:18" ht="16.5" x14ac:dyDescent="0.3">
      <c r="B42" s="1" t="s">
        <v>84</v>
      </c>
    </row>
    <row r="43" spans="2:18" x14ac:dyDescent="0.25">
      <c r="B43" s="1" t="s">
        <v>91</v>
      </c>
    </row>
    <row r="44" spans="2:18" ht="15" customHeight="1" x14ac:dyDescent="0.25">
      <c r="B44" s="1" t="s">
        <v>93</v>
      </c>
      <c r="N44" s="21"/>
      <c r="O44" s="21"/>
      <c r="P44" s="21"/>
      <c r="Q44" s="21"/>
      <c r="R44" s="21"/>
    </row>
    <row r="45" spans="2:18" ht="15" customHeight="1" x14ac:dyDescent="0.25">
      <c r="N45" s="21"/>
      <c r="O45" s="21"/>
      <c r="P45" s="21"/>
      <c r="Q45" s="21"/>
      <c r="R45" s="21"/>
    </row>
    <row r="46" spans="2:18" ht="15" customHeight="1" x14ac:dyDescent="0.25"/>
    <row r="47" spans="2:18" ht="15" customHeight="1" x14ac:dyDescent="0.25">
      <c r="B47" s="105" t="s">
        <v>83</v>
      </c>
      <c r="C47" s="105"/>
      <c r="D47" s="105"/>
      <c r="E47" s="105"/>
      <c r="F47" s="105"/>
      <c r="G47" s="105"/>
      <c r="H47" s="105"/>
      <c r="I47" s="105"/>
      <c r="J47" s="105"/>
      <c r="K47" s="105"/>
      <c r="L47" s="105"/>
      <c r="M47" s="105"/>
    </row>
    <row r="48" spans="2:18" ht="15" customHeight="1" x14ac:dyDescent="0.25">
      <c r="B48" s="105"/>
      <c r="C48" s="105"/>
      <c r="D48" s="105"/>
      <c r="E48" s="105"/>
      <c r="F48" s="105"/>
      <c r="G48" s="105"/>
      <c r="H48" s="105"/>
      <c r="I48" s="105"/>
      <c r="J48" s="105"/>
      <c r="K48" s="105"/>
      <c r="L48" s="105"/>
      <c r="M48" s="105"/>
    </row>
    <row r="49" spans="2:13" x14ac:dyDescent="0.25">
      <c r="B49" s="105"/>
      <c r="C49" s="105"/>
      <c r="D49" s="105"/>
      <c r="E49" s="105"/>
      <c r="F49" s="105"/>
      <c r="G49" s="105"/>
      <c r="H49" s="105"/>
      <c r="I49" s="105"/>
      <c r="J49" s="105"/>
      <c r="K49" s="105"/>
      <c r="L49" s="105"/>
      <c r="M49" s="105"/>
    </row>
  </sheetData>
  <mergeCells count="24">
    <mergeCell ref="B21:M21"/>
    <mergeCell ref="D23:E23"/>
    <mergeCell ref="B16:M16"/>
    <mergeCell ref="B7:M7"/>
    <mergeCell ref="E18:F18"/>
    <mergeCell ref="G19:I19"/>
    <mergeCell ref="H23:J23"/>
    <mergeCell ref="B2:M2"/>
    <mergeCell ref="B3:M3"/>
    <mergeCell ref="B4:M4"/>
    <mergeCell ref="B5:M5"/>
    <mergeCell ref="B13:M13"/>
    <mergeCell ref="B6:F6"/>
    <mergeCell ref="J6:M6"/>
    <mergeCell ref="R26:S26"/>
    <mergeCell ref="R27:S27"/>
    <mergeCell ref="R28:S28"/>
    <mergeCell ref="H31:J31"/>
    <mergeCell ref="H32:J32"/>
    <mergeCell ref="H33:J33"/>
    <mergeCell ref="H29:J29"/>
    <mergeCell ref="H30:J30"/>
    <mergeCell ref="B35:M35"/>
    <mergeCell ref="B47:M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D_Solver_Single">
                <anchor moveWithCells="1" sizeWithCells="1">
                  <from>
                    <xdr:col>10</xdr:col>
                    <xdr:colOff>371475</xdr:colOff>
                    <xdr:row>17</xdr:row>
                    <xdr:rowOff>47625</xdr:rowOff>
                  </from>
                  <to>
                    <xdr:col>12</xdr:col>
                    <xdr:colOff>542925</xdr:colOff>
                    <xdr:row>19</xdr:row>
                    <xdr:rowOff>104775</xdr:rowOff>
                  </to>
                </anchor>
              </controlPr>
            </control>
          </mc:Choice>
        </mc:AlternateContent>
        <mc:AlternateContent xmlns:mc="http://schemas.openxmlformats.org/markup-compatibility/2006">
          <mc:Choice Requires="x14">
            <control shapeId="4098" r:id="rId5" name="Button 2">
              <controlPr defaultSize="0" print="0" autoFill="0" autoPict="0" macro="[0]!D_Solver_Multi">
                <anchor moveWithCells="1" sizeWithCells="1">
                  <from>
                    <xdr:col>10</xdr:col>
                    <xdr:colOff>676275</xdr:colOff>
                    <xdr:row>26</xdr:row>
                    <xdr:rowOff>28575</xdr:rowOff>
                  </from>
                  <to>
                    <xdr:col>12</xdr:col>
                    <xdr:colOff>438150</xdr:colOff>
                    <xdr:row>29</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Clear_Inputs">
                <anchor moveWithCells="1" sizeWithCells="1">
                  <from>
                    <xdr:col>9</xdr:col>
                    <xdr:colOff>342900</xdr:colOff>
                    <xdr:row>3</xdr:row>
                    <xdr:rowOff>9525</xdr:rowOff>
                  </from>
                  <to>
                    <xdr:col>12</xdr:col>
                    <xdr:colOff>285750</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ACBAF-B785-4AB6-94A0-B4E681D6A3F4}">
  <sheetPr codeName="Sheet3"/>
  <dimension ref="A1:A62"/>
  <sheetViews>
    <sheetView workbookViewId="0">
      <selection activeCell="H70" sqref="H70"/>
    </sheetView>
  </sheetViews>
  <sheetFormatPr defaultColWidth="8.7109375" defaultRowHeight="20.25" x14ac:dyDescent="0.3"/>
  <cols>
    <col min="1" max="16384" width="8.7109375" style="73"/>
  </cols>
  <sheetData>
    <row r="1" spans="1:1" x14ac:dyDescent="0.3">
      <c r="A1" s="74" t="s">
        <v>76</v>
      </c>
    </row>
    <row r="14" spans="1:1" x14ac:dyDescent="0.3">
      <c r="A14" s="74" t="s">
        <v>77</v>
      </c>
    </row>
    <row r="31" spans="1:1" x14ac:dyDescent="0.3">
      <c r="A31" s="74" t="s">
        <v>78</v>
      </c>
    </row>
    <row r="47" spans="1:1" x14ac:dyDescent="0.3">
      <c r="A47" s="74" t="s">
        <v>79</v>
      </c>
    </row>
    <row r="62" spans="1:1" x14ac:dyDescent="0.3">
      <c r="A62" s="74" t="s">
        <v>80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BD7C-C960-4F96-BBDB-FD16F0B5F651}">
  <sheetPr codeName="Sheet4"/>
  <dimension ref="A1:A12"/>
  <sheetViews>
    <sheetView workbookViewId="0">
      <selection activeCell="M41" sqref="M41"/>
    </sheetView>
  </sheetViews>
  <sheetFormatPr defaultColWidth="8.7109375" defaultRowHeight="20.25" x14ac:dyDescent="0.3"/>
  <cols>
    <col min="1" max="16384" width="8.7109375" style="74"/>
  </cols>
  <sheetData>
    <row r="1" spans="1:1" x14ac:dyDescent="0.3">
      <c r="A1" s="74" t="s">
        <v>75</v>
      </c>
    </row>
    <row r="12" spans="1:1" x14ac:dyDescent="0.3">
      <c r="A12" s="74" t="s">
        <v>77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Introduction</vt:lpstr>
      <vt:lpstr>Inputs and Calculations</vt:lpstr>
      <vt:lpstr>Solver Install Instructions</vt:lpstr>
      <vt:lpstr>Solver Setup Instructions</vt:lpstr>
      <vt:lpstr>A</vt:lpstr>
      <vt:lpstr>'Inputs and Calculations'!A_U</vt:lpstr>
      <vt:lpstr>COx</vt:lpstr>
      <vt:lpstr>'Inputs and Calculations'!COx_U</vt:lpstr>
      <vt:lpstr>DOx</vt:lpstr>
      <vt:lpstr>e_</vt:lpstr>
      <vt:lpstr>F</vt:lpstr>
      <vt:lpstr>'Inputs and Calculations'!F_U</vt:lpstr>
      <vt:lpstr>Ip</vt:lpstr>
      <vt:lpstr>Ip_calc</vt:lpstr>
      <vt:lpstr>'Inputs and Calculations'!Ip_U</vt:lpstr>
      <vt:lpstr>MW</vt:lpstr>
      <vt:lpstr>n</vt:lpstr>
      <vt:lpstr>'Inputs and Calculations'!n_U</vt:lpstr>
      <vt:lpstr>R_</vt:lpstr>
      <vt:lpstr>'Inputs and Calculations'!R_U</vt:lpstr>
      <vt:lpstr>rA</vt:lpstr>
      <vt:lpstr>T</vt:lpstr>
      <vt:lpstr>'Inputs and Calculations'!T_U</vt:lpstr>
      <vt:lpstr>Γ</vt:lpstr>
      <vt:lpstr>'Inputs and Calculations'!Γ_U</vt:lpstr>
      <vt:lpstr>ΔE</vt:lpstr>
      <vt:lpstr>'Inputs and Calculations'!ΔE_U</vt:lpstr>
      <vt:lpstr>Δεs</vt:lpstr>
      <vt:lpstr>ν</vt:lpstr>
      <vt:lpstr>'Inputs and Calculations'!ν_U</vt:lpstr>
      <vt:lpstr>ρD</vt:lpstr>
      <vt:lpstr>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Devin</dc:creator>
  <cp:lastModifiedBy>Devin</cp:lastModifiedBy>
  <dcterms:created xsi:type="dcterms:W3CDTF">2022-11-07T14:36:01Z</dcterms:created>
  <dcterms:modified xsi:type="dcterms:W3CDTF">2023-01-16T17:54:45Z</dcterms:modified>
</cp:coreProperties>
</file>